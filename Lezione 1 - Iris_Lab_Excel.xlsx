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morelli\IdeaProjects\B3099---LABORATORIO-DI-OTTIMIZZAZIONE-INTELLIGENZA-ARTIFICIALE-E-MACHINE-LEARNING---2025-2026\"/>
    </mc:Choice>
  </mc:AlternateContent>
  <xr:revisionPtr revIDLastSave="0" documentId="13_ncr:1_{53270896-6B7C-4F72-A55B-92FE16D0F8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struzioni" sheetId="1" r:id="rId1"/>
    <sheet name="Dati_grezzi" sheetId="2" r:id="rId2"/>
    <sheet name="Statistiche_guidate" sheetId="3" r:id="rId3"/>
    <sheet name="Distribuzioni" sheetId="7" r:id="rId4"/>
    <sheet name="Scatter" sheetId="6" r:id="rId5"/>
    <sheet name="Preprocessing" sheetId="4" r:id="rId6"/>
    <sheet name="Outlier_IQR" sheetId="5" r:id="rId7"/>
    <sheet name="Chi Quadro" sheetId="11" r:id="rId8"/>
    <sheet name="Consegna" sheetId="8" r:id="rId9"/>
  </sheets>
  <definedNames>
    <definedName name="_xlnm._FilterDatabase" localSheetId="1" hidden="1">Dati_grezzi!$A$1:$E$151</definedName>
    <definedName name="_xlnm._FilterDatabase" localSheetId="6" hidden="1">Outlier_IQR!$A$4:$I$4</definedName>
  </definedNames>
  <calcPr calcId="191028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A21" i="11"/>
  <c r="J3" i="2"/>
  <c r="J2" i="2"/>
  <c r="F2" i="2" s="1"/>
  <c r="I2" i="2"/>
  <c r="A12" i="11"/>
  <c r="C12" i="11"/>
  <c r="B12" i="11"/>
  <c r="B5" i="5"/>
  <c r="E6" i="4"/>
  <c r="C13" i="11"/>
  <c r="C14" i="11"/>
  <c r="B13" i="11"/>
  <c r="B14" i="11"/>
  <c r="A13" i="11"/>
  <c r="A14" i="11"/>
  <c r="C5" i="5"/>
  <c r="A5" i="5"/>
  <c r="H5" i="5" s="1"/>
  <c r="A28" i="5"/>
  <c r="H28" i="5" s="1"/>
  <c r="A27" i="5"/>
  <c r="H27" i="5" s="1"/>
  <c r="E2" i="3"/>
  <c r="I2" i="3"/>
  <c r="H2" i="3"/>
  <c r="F6" i="4"/>
  <c r="F2" i="3"/>
  <c r="C2" i="3"/>
  <c r="G13" i="3"/>
  <c r="G12" i="3"/>
  <c r="G11" i="3"/>
  <c r="G10" i="3"/>
  <c r="G9" i="3"/>
  <c r="G7" i="3"/>
  <c r="G8" i="3"/>
  <c r="G6" i="3"/>
  <c r="G5" i="3"/>
  <c r="G4" i="3"/>
  <c r="G3" i="3"/>
  <c r="G2" i="3"/>
  <c r="F13" i="3"/>
  <c r="F12" i="3"/>
  <c r="F11" i="3"/>
  <c r="F10" i="3"/>
  <c r="F9" i="3"/>
  <c r="F8" i="3"/>
  <c r="F7" i="3"/>
  <c r="F6" i="3"/>
  <c r="F5" i="3"/>
  <c r="F4" i="3"/>
  <c r="F3" i="3"/>
  <c r="A154" i="5"/>
  <c r="H154" i="5" s="1"/>
  <c r="A153" i="5"/>
  <c r="H153" i="5" s="1"/>
  <c r="A152" i="5"/>
  <c r="A151" i="5"/>
  <c r="H151" i="5" s="1"/>
  <c r="A150" i="5"/>
  <c r="H150" i="5" s="1"/>
  <c r="A149" i="5"/>
  <c r="H149" i="5" s="1"/>
  <c r="A148" i="5"/>
  <c r="H148" i="5" s="1"/>
  <c r="A147" i="5"/>
  <c r="H147" i="5" s="1"/>
  <c r="A146" i="5"/>
  <c r="H146" i="5" s="1"/>
  <c r="A145" i="5"/>
  <c r="H145" i="5" s="1"/>
  <c r="A144" i="5"/>
  <c r="H144" i="5" s="1"/>
  <c r="A143" i="5"/>
  <c r="H143" i="5" s="1"/>
  <c r="A142" i="5"/>
  <c r="H142" i="5" s="1"/>
  <c r="I142" i="5" s="1"/>
  <c r="A141" i="5"/>
  <c r="H141" i="5" s="1"/>
  <c r="A140" i="5"/>
  <c r="H140" i="5" s="1"/>
  <c r="A139" i="5"/>
  <c r="H139" i="5" s="1"/>
  <c r="A138" i="5"/>
  <c r="H138" i="5" s="1"/>
  <c r="A137" i="5"/>
  <c r="H137" i="5" s="1"/>
  <c r="A136" i="5"/>
  <c r="H136" i="5" s="1"/>
  <c r="A135" i="5"/>
  <c r="H135" i="5" s="1"/>
  <c r="A134" i="5"/>
  <c r="H134" i="5" s="1"/>
  <c r="A133" i="5"/>
  <c r="H133" i="5" s="1"/>
  <c r="A132" i="5"/>
  <c r="H132" i="5" s="1"/>
  <c r="A131" i="5"/>
  <c r="H131" i="5" s="1"/>
  <c r="A130" i="5"/>
  <c r="H130" i="5" s="1"/>
  <c r="A129" i="5"/>
  <c r="H129" i="5" s="1"/>
  <c r="A128" i="5"/>
  <c r="H128" i="5" s="1"/>
  <c r="A127" i="5"/>
  <c r="H127" i="5" s="1"/>
  <c r="A126" i="5"/>
  <c r="H126" i="5" s="1"/>
  <c r="A125" i="5"/>
  <c r="H125" i="5" s="1"/>
  <c r="A124" i="5"/>
  <c r="H124" i="5" s="1"/>
  <c r="A123" i="5"/>
  <c r="H123" i="5" s="1"/>
  <c r="I123" i="5" s="1"/>
  <c r="A122" i="5"/>
  <c r="H122" i="5" s="1"/>
  <c r="I122" i="5" s="1"/>
  <c r="A121" i="5"/>
  <c r="H121" i="5" s="1"/>
  <c r="A120" i="5"/>
  <c r="H120" i="5" s="1"/>
  <c r="A119" i="5"/>
  <c r="H119" i="5" s="1"/>
  <c r="A118" i="5"/>
  <c r="H118" i="5" s="1"/>
  <c r="A117" i="5"/>
  <c r="A116" i="5"/>
  <c r="H116" i="5" s="1"/>
  <c r="A115" i="5"/>
  <c r="H115" i="5" s="1"/>
  <c r="A114" i="5"/>
  <c r="H114" i="5" s="1"/>
  <c r="I114" i="5" s="1"/>
  <c r="A113" i="5"/>
  <c r="H113" i="5" s="1"/>
  <c r="A112" i="5"/>
  <c r="H112" i="5" s="1"/>
  <c r="A111" i="5"/>
  <c r="H111" i="5" s="1"/>
  <c r="A110" i="5"/>
  <c r="H110" i="5" s="1"/>
  <c r="A109" i="5"/>
  <c r="H109" i="5" s="1"/>
  <c r="A108" i="5"/>
  <c r="H108" i="5" s="1"/>
  <c r="A107" i="5"/>
  <c r="H107" i="5" s="1"/>
  <c r="A106" i="5"/>
  <c r="H106" i="5" s="1"/>
  <c r="A105" i="5"/>
  <c r="H105" i="5" s="1"/>
  <c r="A104" i="5"/>
  <c r="H104" i="5" s="1"/>
  <c r="A103" i="5"/>
  <c r="H103" i="5" s="1"/>
  <c r="A102" i="5"/>
  <c r="H102" i="5" s="1"/>
  <c r="A101" i="5"/>
  <c r="H101" i="5" s="1"/>
  <c r="A100" i="5"/>
  <c r="H100" i="5" s="1"/>
  <c r="A99" i="5"/>
  <c r="H99" i="5" s="1"/>
  <c r="A98" i="5"/>
  <c r="H98" i="5" s="1"/>
  <c r="A97" i="5"/>
  <c r="H97" i="5" s="1"/>
  <c r="A96" i="5"/>
  <c r="H96" i="5" s="1"/>
  <c r="A95" i="5"/>
  <c r="H95" i="5" s="1"/>
  <c r="A94" i="5"/>
  <c r="H94" i="5" s="1"/>
  <c r="I94" i="5" s="1"/>
  <c r="A93" i="5"/>
  <c r="H93" i="5" s="1"/>
  <c r="A92" i="5"/>
  <c r="H92" i="5" s="1"/>
  <c r="A91" i="5"/>
  <c r="H91" i="5" s="1"/>
  <c r="A90" i="5"/>
  <c r="H90" i="5" s="1"/>
  <c r="A89" i="5"/>
  <c r="H89" i="5" s="1"/>
  <c r="A88" i="5"/>
  <c r="H88" i="5" s="1"/>
  <c r="A87" i="5"/>
  <c r="H87" i="5" s="1"/>
  <c r="A86" i="5"/>
  <c r="H86" i="5" s="1"/>
  <c r="A85" i="5"/>
  <c r="H85" i="5" s="1"/>
  <c r="A84" i="5"/>
  <c r="H84" i="5" s="1"/>
  <c r="A83" i="5"/>
  <c r="H83" i="5" s="1"/>
  <c r="A82" i="5"/>
  <c r="H82" i="5" s="1"/>
  <c r="A81" i="5"/>
  <c r="H81" i="5" s="1"/>
  <c r="A80" i="5"/>
  <c r="H80" i="5" s="1"/>
  <c r="A79" i="5"/>
  <c r="H79" i="5" s="1"/>
  <c r="A78" i="5"/>
  <c r="H78" i="5" s="1"/>
  <c r="A77" i="5"/>
  <c r="H77" i="5" s="1"/>
  <c r="A76" i="5"/>
  <c r="H76" i="5" s="1"/>
  <c r="A75" i="5"/>
  <c r="H75" i="5" s="1"/>
  <c r="A74" i="5"/>
  <c r="H74" i="5" s="1"/>
  <c r="I74" i="5" s="1"/>
  <c r="A73" i="5"/>
  <c r="H73" i="5" s="1"/>
  <c r="I73" i="5" s="1"/>
  <c r="A72" i="5"/>
  <c r="H72" i="5" s="1"/>
  <c r="A71" i="5"/>
  <c r="H71" i="5" s="1"/>
  <c r="A70" i="5"/>
  <c r="H70" i="5" s="1"/>
  <c r="A69" i="5"/>
  <c r="H69" i="5" s="1"/>
  <c r="A68" i="5"/>
  <c r="H68" i="5" s="1"/>
  <c r="A67" i="5"/>
  <c r="H67" i="5" s="1"/>
  <c r="A66" i="5"/>
  <c r="H66" i="5" s="1"/>
  <c r="A65" i="5"/>
  <c r="H65" i="5" s="1"/>
  <c r="I65" i="5" s="1"/>
  <c r="A64" i="5"/>
  <c r="H64" i="5" s="1"/>
  <c r="A63" i="5"/>
  <c r="H63" i="5" s="1"/>
  <c r="A62" i="5"/>
  <c r="H62" i="5" s="1"/>
  <c r="A61" i="5"/>
  <c r="H61" i="5" s="1"/>
  <c r="A60" i="5"/>
  <c r="H60" i="5" s="1"/>
  <c r="A59" i="5"/>
  <c r="H59" i="5" s="1"/>
  <c r="A58" i="5"/>
  <c r="H58" i="5" s="1"/>
  <c r="A57" i="5"/>
  <c r="H57" i="5" s="1"/>
  <c r="A56" i="5"/>
  <c r="H56" i="5" s="1"/>
  <c r="A55" i="5"/>
  <c r="H55" i="5" s="1"/>
  <c r="A54" i="5"/>
  <c r="H54" i="5" s="1"/>
  <c r="A53" i="5"/>
  <c r="H53" i="5" s="1"/>
  <c r="I53" i="5" s="1"/>
  <c r="A52" i="5"/>
  <c r="H52" i="5" s="1"/>
  <c r="A51" i="5"/>
  <c r="H51" i="5" s="1"/>
  <c r="A50" i="5"/>
  <c r="H50" i="5" s="1"/>
  <c r="A49" i="5"/>
  <c r="A48" i="5"/>
  <c r="H48" i="5" s="1"/>
  <c r="A47" i="5"/>
  <c r="A46" i="5"/>
  <c r="H46" i="5" s="1"/>
  <c r="A45" i="5"/>
  <c r="H45" i="5" s="1"/>
  <c r="I45" i="5" s="1"/>
  <c r="A44" i="5"/>
  <c r="H44" i="5" s="1"/>
  <c r="I44" i="5" s="1"/>
  <c r="A43" i="5"/>
  <c r="H43" i="5" s="1"/>
  <c r="A42" i="5"/>
  <c r="H42" i="5" s="1"/>
  <c r="A41" i="5"/>
  <c r="H41" i="5" s="1"/>
  <c r="A40" i="5"/>
  <c r="H40" i="5" s="1"/>
  <c r="A39" i="5"/>
  <c r="H39" i="5" s="1"/>
  <c r="A38" i="5"/>
  <c r="H38" i="5" s="1"/>
  <c r="A37" i="5"/>
  <c r="H37" i="5" s="1"/>
  <c r="A36" i="5"/>
  <c r="H36" i="5" s="1"/>
  <c r="A35" i="5"/>
  <c r="H35" i="5" s="1"/>
  <c r="A34" i="5"/>
  <c r="A33" i="5"/>
  <c r="A32" i="5"/>
  <c r="A31" i="5"/>
  <c r="H31" i="5" s="1"/>
  <c r="A30" i="5"/>
  <c r="H30" i="5" s="1"/>
  <c r="A29" i="5"/>
  <c r="H29" i="5" s="1"/>
  <c r="A26" i="5"/>
  <c r="H26" i="5" s="1"/>
  <c r="A25" i="5"/>
  <c r="H25" i="5" s="1"/>
  <c r="I25" i="5" s="1"/>
  <c r="A24" i="5"/>
  <c r="H24" i="5" s="1"/>
  <c r="I24" i="5" s="1"/>
  <c r="A23" i="5"/>
  <c r="H23" i="5" s="1"/>
  <c r="A22" i="5"/>
  <c r="H22" i="5" s="1"/>
  <c r="A21" i="5"/>
  <c r="A20" i="5"/>
  <c r="A19" i="5"/>
  <c r="A18" i="5"/>
  <c r="H18" i="5" s="1"/>
  <c r="A17" i="5"/>
  <c r="H17" i="5" s="1"/>
  <c r="A16" i="5"/>
  <c r="H16" i="5" s="1"/>
  <c r="I16" i="5" s="1"/>
  <c r="A15" i="5"/>
  <c r="H15" i="5" s="1"/>
  <c r="A14" i="5"/>
  <c r="H14" i="5" s="1"/>
  <c r="A13" i="5"/>
  <c r="H13" i="5" s="1"/>
  <c r="A12" i="5"/>
  <c r="H12" i="5" s="1"/>
  <c r="A11" i="5"/>
  <c r="H11" i="5" s="1"/>
  <c r="A10" i="5"/>
  <c r="H10" i="5" s="1"/>
  <c r="A9" i="5"/>
  <c r="H9" i="5" s="1"/>
  <c r="A8" i="5"/>
  <c r="H8" i="5" s="1"/>
  <c r="A7" i="5"/>
  <c r="H7" i="5" s="1"/>
  <c r="A6" i="5"/>
  <c r="H6" i="5" s="1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H6" i="4"/>
  <c r="G6" i="4"/>
  <c r="A6" i="4"/>
  <c r="C6" i="4" s="1"/>
  <c r="C13" i="3"/>
  <c r="C12" i="3"/>
  <c r="C11" i="3"/>
  <c r="C10" i="3"/>
  <c r="C9" i="3"/>
  <c r="C8" i="3"/>
  <c r="C7" i="3"/>
  <c r="C6" i="3"/>
  <c r="C5" i="3"/>
  <c r="C4" i="3"/>
  <c r="C3" i="3"/>
  <c r="F81" i="2" l="1"/>
  <c r="F139" i="2"/>
  <c r="F55" i="2"/>
  <c r="F138" i="2"/>
  <c r="F54" i="2"/>
  <c r="F39" i="2"/>
  <c r="F136" i="2"/>
  <c r="F52" i="2"/>
  <c r="F135" i="2"/>
  <c r="F121" i="2"/>
  <c r="F107" i="2"/>
  <c r="F93" i="2"/>
  <c r="F79" i="2"/>
  <c r="F65" i="2"/>
  <c r="F51" i="2"/>
  <c r="F37" i="2"/>
  <c r="F23" i="2"/>
  <c r="F9" i="2"/>
  <c r="F148" i="2"/>
  <c r="F134" i="2"/>
  <c r="F120" i="2"/>
  <c r="F106" i="2"/>
  <c r="F92" i="2"/>
  <c r="F78" i="2"/>
  <c r="F64" i="2"/>
  <c r="F50" i="2"/>
  <c r="F36" i="2"/>
  <c r="F22" i="2"/>
  <c r="F8" i="2"/>
  <c r="F147" i="2"/>
  <c r="F133" i="2"/>
  <c r="F119" i="2"/>
  <c r="F105" i="2"/>
  <c r="F91" i="2"/>
  <c r="F77" i="2"/>
  <c r="F63" i="2"/>
  <c r="F49" i="2"/>
  <c r="F35" i="2"/>
  <c r="F21" i="2"/>
  <c r="F7" i="2"/>
  <c r="F69" i="2"/>
  <c r="F6" i="2"/>
  <c r="F111" i="2"/>
  <c r="F83" i="2"/>
  <c r="F96" i="2"/>
  <c r="F68" i="2"/>
  <c r="F109" i="2"/>
  <c r="F67" i="2"/>
  <c r="F122" i="2"/>
  <c r="F94" i="2"/>
  <c r="F66" i="2"/>
  <c r="F149" i="2"/>
  <c r="F132" i="2"/>
  <c r="F90" i="2"/>
  <c r="F34" i="2"/>
  <c r="F103" i="2"/>
  <c r="F89" i="2"/>
  <c r="F75" i="2"/>
  <c r="F19" i="2"/>
  <c r="F5" i="2"/>
  <c r="F144" i="2"/>
  <c r="F130" i="2"/>
  <c r="F116" i="2"/>
  <c r="F102" i="2"/>
  <c r="F88" i="2"/>
  <c r="F74" i="2"/>
  <c r="F60" i="2"/>
  <c r="F46" i="2"/>
  <c r="F32" i="2"/>
  <c r="F18" i="2"/>
  <c r="F4" i="2"/>
  <c r="F27" i="2"/>
  <c r="F40" i="2"/>
  <c r="F151" i="2"/>
  <c r="F53" i="2"/>
  <c r="F150" i="2"/>
  <c r="F10" i="2"/>
  <c r="F118" i="2"/>
  <c r="F62" i="2"/>
  <c r="F145" i="2"/>
  <c r="F61" i="2"/>
  <c r="F143" i="2"/>
  <c r="F101" i="2"/>
  <c r="F3" i="2"/>
  <c r="F142" i="2"/>
  <c r="F128" i="2"/>
  <c r="F114" i="2"/>
  <c r="F100" i="2"/>
  <c r="F86" i="2"/>
  <c r="F72" i="2"/>
  <c r="F58" i="2"/>
  <c r="F44" i="2"/>
  <c r="F30" i="2"/>
  <c r="F16" i="2"/>
  <c r="F41" i="2"/>
  <c r="F110" i="2"/>
  <c r="F26" i="2"/>
  <c r="F123" i="2"/>
  <c r="F25" i="2"/>
  <c r="F108" i="2"/>
  <c r="F24" i="2"/>
  <c r="F104" i="2"/>
  <c r="F48" i="2"/>
  <c r="F131" i="2"/>
  <c r="F47" i="2"/>
  <c r="F129" i="2"/>
  <c r="F87" i="2"/>
  <c r="F17" i="2"/>
  <c r="F141" i="2"/>
  <c r="F127" i="2"/>
  <c r="F113" i="2"/>
  <c r="F99" i="2"/>
  <c r="F85" i="2"/>
  <c r="F71" i="2"/>
  <c r="F57" i="2"/>
  <c r="F43" i="2"/>
  <c r="F29" i="2"/>
  <c r="F15" i="2"/>
  <c r="F125" i="2"/>
  <c r="F97" i="2"/>
  <c r="F13" i="2"/>
  <c r="F124" i="2"/>
  <c r="F82" i="2"/>
  <c r="F12" i="2"/>
  <c r="F137" i="2"/>
  <c r="F95" i="2"/>
  <c r="F11" i="2"/>
  <c r="F80" i="2"/>
  <c r="F38" i="2"/>
  <c r="F146" i="2"/>
  <c r="F76" i="2"/>
  <c r="F20" i="2"/>
  <c r="F117" i="2"/>
  <c r="F33" i="2"/>
  <c r="F115" i="2"/>
  <c r="F73" i="2"/>
  <c r="F59" i="2"/>
  <c r="F45" i="2"/>
  <c r="F31" i="2"/>
  <c r="F140" i="2"/>
  <c r="F126" i="2"/>
  <c r="F112" i="2"/>
  <c r="F98" i="2"/>
  <c r="F84" i="2"/>
  <c r="F70" i="2"/>
  <c r="F56" i="2"/>
  <c r="F42" i="2"/>
  <c r="F28" i="2"/>
  <c r="F14" i="2"/>
  <c r="B6" i="4"/>
  <c r="J2" i="3"/>
  <c r="B144" i="4"/>
  <c r="I125" i="5"/>
  <c r="I140" i="5"/>
  <c r="I154" i="5"/>
  <c r="I153" i="5"/>
  <c r="I22" i="5"/>
  <c r="H49" i="5"/>
  <c r="I49" i="5" s="1"/>
  <c r="H20" i="5"/>
  <c r="I20" i="5" s="1"/>
  <c r="I37" i="5"/>
  <c r="H34" i="5"/>
  <c r="I34" i="5" s="1"/>
  <c r="H19" i="5"/>
  <c r="I19" i="5" s="1"/>
  <c r="I150" i="5"/>
  <c r="I137" i="5"/>
  <c r="H152" i="5"/>
  <c r="I152" i="5" s="1"/>
  <c r="I9" i="5"/>
  <c r="I23" i="5"/>
  <c r="I10" i="5"/>
  <c r="I38" i="5"/>
  <c r="I51" i="5"/>
  <c r="H117" i="5"/>
  <c r="I117" i="5" s="1"/>
  <c r="H47" i="5"/>
  <c r="I47" i="5" s="1"/>
  <c r="H33" i="5"/>
  <c r="I33" i="5" s="1"/>
  <c r="I48" i="5"/>
  <c r="H21" i="5"/>
  <c r="I21" i="5" s="1"/>
  <c r="I36" i="5"/>
  <c r="I62" i="5"/>
  <c r="I103" i="5"/>
  <c r="I50" i="5"/>
  <c r="I11" i="5"/>
  <c r="I39" i="5"/>
  <c r="I52" i="5"/>
  <c r="I79" i="5"/>
  <c r="I93" i="5"/>
  <c r="I132" i="5"/>
  <c r="I146" i="5"/>
  <c r="H32" i="5"/>
  <c r="I32" i="5" s="1"/>
  <c r="I151" i="5"/>
  <c r="I124" i="5"/>
  <c r="I12" i="5"/>
  <c r="I66" i="5"/>
  <c r="I80" i="5"/>
  <c r="I107" i="5"/>
  <c r="I121" i="5"/>
  <c r="I133" i="5"/>
  <c r="I147" i="5"/>
  <c r="I139" i="5"/>
  <c r="I67" i="5"/>
  <c r="I138" i="5"/>
  <c r="I81" i="5"/>
  <c r="I108" i="5"/>
  <c r="I54" i="5"/>
  <c r="I68" i="5"/>
  <c r="I82" i="5"/>
  <c r="I95" i="5"/>
  <c r="I109" i="5"/>
  <c r="I135" i="5"/>
  <c r="I149" i="5"/>
  <c r="D5" i="5"/>
  <c r="E5" i="5" s="1"/>
  <c r="I6" i="5"/>
  <c r="I31" i="5"/>
  <c r="I61" i="5"/>
  <c r="I75" i="5"/>
  <c r="I89" i="5"/>
  <c r="I120" i="5"/>
  <c r="I145" i="5"/>
  <c r="I13" i="5"/>
  <c r="I26" i="5"/>
  <c r="I40" i="5"/>
  <c r="I131" i="5"/>
  <c r="I27" i="5"/>
  <c r="I41" i="5"/>
  <c r="I134" i="5"/>
  <c r="I148" i="5"/>
  <c r="I55" i="5"/>
  <c r="I69" i="5"/>
  <c r="I83" i="5"/>
  <c r="I96" i="5"/>
  <c r="I110" i="5"/>
  <c r="I46" i="5"/>
  <c r="I18" i="5"/>
  <c r="I30" i="5"/>
  <c r="I97" i="5"/>
  <c r="I111" i="5"/>
  <c r="I72" i="5"/>
  <c r="I56" i="5"/>
  <c r="I70" i="5"/>
  <c r="I58" i="5"/>
  <c r="I35" i="5"/>
  <c r="I60" i="5"/>
  <c r="I85" i="5"/>
  <c r="I98" i="5"/>
  <c r="I112" i="5"/>
  <c r="I59" i="5"/>
  <c r="I86" i="5"/>
  <c r="I99" i="5"/>
  <c r="I113" i="5"/>
  <c r="I71" i="5"/>
  <c r="I87" i="5"/>
  <c r="I57" i="5"/>
  <c r="I84" i="5"/>
  <c r="I63" i="5"/>
  <c r="I15" i="5"/>
  <c r="I76" i="5"/>
  <c r="I90" i="5"/>
  <c r="I116" i="5"/>
  <c r="I128" i="5"/>
  <c r="I101" i="5"/>
  <c r="I115" i="5"/>
  <c r="I141" i="5"/>
  <c r="I77" i="5"/>
  <c r="I91" i="5"/>
  <c r="I104" i="5"/>
  <c r="I129" i="5"/>
  <c r="I14" i="5"/>
  <c r="I102" i="5"/>
  <c r="I127" i="5"/>
  <c r="I28" i="5"/>
  <c r="I42" i="5"/>
  <c r="I78" i="5"/>
  <c r="I92" i="5"/>
  <c r="I105" i="5"/>
  <c r="I118" i="5"/>
  <c r="I130" i="5"/>
  <c r="I143" i="5"/>
  <c r="I100" i="5"/>
  <c r="I88" i="5"/>
  <c r="I126" i="5"/>
  <c r="I64" i="5"/>
  <c r="I17" i="5"/>
  <c r="I29" i="5"/>
  <c r="I43" i="5"/>
  <c r="I106" i="5"/>
  <c r="I119" i="5"/>
  <c r="I144" i="5"/>
  <c r="I7" i="5"/>
  <c r="I8" i="5"/>
  <c r="C53" i="4"/>
  <c r="C26" i="4"/>
  <c r="C40" i="4"/>
  <c r="C54" i="4"/>
  <c r="C68" i="4"/>
  <c r="C82" i="4"/>
  <c r="C124" i="4"/>
  <c r="C138" i="4"/>
  <c r="C152" i="4"/>
  <c r="C137" i="4"/>
  <c r="C27" i="4"/>
  <c r="C111" i="4"/>
  <c r="C125" i="4"/>
  <c r="C15" i="4"/>
  <c r="C87" i="4"/>
  <c r="C101" i="4"/>
  <c r="C52" i="4"/>
  <c r="C136" i="4"/>
  <c r="C126" i="4"/>
  <c r="C16" i="4"/>
  <c r="C12" i="4"/>
  <c r="C89" i="4"/>
  <c r="C7" i="4"/>
  <c r="C63" i="4"/>
  <c r="C77" i="4"/>
  <c r="C91" i="4"/>
  <c r="C105" i="4"/>
  <c r="C119" i="4"/>
  <c r="I136" i="5"/>
  <c r="I5" i="5"/>
  <c r="C139" i="4"/>
  <c r="C42" i="4"/>
  <c r="C31" i="4"/>
  <c r="C117" i="4"/>
  <c r="C153" i="4"/>
  <c r="C81" i="4"/>
  <c r="C154" i="4"/>
  <c r="C115" i="4"/>
  <c r="C55" i="4"/>
  <c r="C8" i="4"/>
  <c r="C22" i="4"/>
  <c r="C70" i="4"/>
  <c r="C17" i="4"/>
  <c r="C143" i="4"/>
  <c r="C10" i="4"/>
  <c r="C59" i="4"/>
  <c r="C83" i="4"/>
  <c r="C108" i="4"/>
  <c r="C145" i="4"/>
  <c r="C80" i="4"/>
  <c r="C23" i="4"/>
  <c r="C35" i="4"/>
  <c r="C96" i="4"/>
  <c r="C109" i="4"/>
  <c r="C133" i="4"/>
  <c r="C45" i="4"/>
  <c r="C24" i="4"/>
  <c r="C61" i="4"/>
  <c r="C73" i="4"/>
  <c r="C97" i="4"/>
  <c r="C41" i="4"/>
  <c r="C129" i="4"/>
  <c r="C69" i="4"/>
  <c r="C49" i="4"/>
  <c r="C98" i="4"/>
  <c r="C110" i="4"/>
  <c r="C147" i="4"/>
  <c r="B90" i="4"/>
  <c r="B20" i="4"/>
  <c r="B56" i="4"/>
  <c r="B68" i="4"/>
  <c r="B9" i="4"/>
  <c r="B154" i="4"/>
  <c r="B76" i="4"/>
  <c r="B98" i="4"/>
  <c r="B110" i="4"/>
  <c r="B155" i="4"/>
  <c r="B77" i="4"/>
  <c r="B57" i="4"/>
  <c r="B79" i="4"/>
  <c r="B135" i="4"/>
  <c r="B146" i="4"/>
  <c r="B37" i="4"/>
  <c r="B48" i="4"/>
  <c r="B70" i="4"/>
  <c r="B116" i="4"/>
  <c r="B126" i="4"/>
  <c r="B138" i="4"/>
  <c r="B149" i="4"/>
  <c r="B18" i="4"/>
  <c r="B28" i="4"/>
  <c r="B40" i="4"/>
  <c r="B51" i="4"/>
  <c r="B96" i="4"/>
  <c r="B107" i="4"/>
  <c r="B118" i="4"/>
  <c r="B29" i="4"/>
  <c r="B49" i="4"/>
  <c r="B88" i="4"/>
  <c r="B127" i="4"/>
  <c r="B147" i="4"/>
  <c r="B12" i="4"/>
  <c r="B21" i="4"/>
  <c r="B60" i="4"/>
  <c r="B99" i="4"/>
  <c r="B119" i="4"/>
  <c r="B23" i="4"/>
  <c r="B32" i="4"/>
  <c r="B71" i="4"/>
  <c r="B91" i="4"/>
  <c r="B130" i="4"/>
  <c r="B142" i="4"/>
  <c r="B14" i="4"/>
  <c r="B42" i="4"/>
  <c r="B62" i="4"/>
  <c r="B82" i="4"/>
  <c r="B121" i="4"/>
  <c r="B140" i="4"/>
  <c r="B63" i="4"/>
  <c r="B34" i="4"/>
  <c r="B54" i="4"/>
  <c r="B93" i="4"/>
  <c r="B112" i="4"/>
  <c r="B132" i="4"/>
  <c r="B152" i="4"/>
  <c r="B35" i="4"/>
  <c r="B74" i="4"/>
  <c r="B113" i="4"/>
  <c r="B133" i="4"/>
  <c r="B102" i="4"/>
  <c r="B7" i="4"/>
  <c r="B26" i="4"/>
  <c r="B65" i="4"/>
  <c r="B84" i="4"/>
  <c r="B104" i="4"/>
  <c r="B124" i="4"/>
  <c r="B15" i="4"/>
  <c r="B43" i="4"/>
  <c r="B141" i="4"/>
  <c r="B17" i="4"/>
  <c r="B46" i="4"/>
  <c r="B85" i="4"/>
  <c r="B105" i="4"/>
  <c r="C134" i="4"/>
  <c r="B134" i="4"/>
  <c r="B78" i="4"/>
  <c r="C78" i="4"/>
  <c r="B8" i="4"/>
  <c r="C33" i="4"/>
  <c r="B33" i="4"/>
  <c r="B22" i="4"/>
  <c r="B50" i="4"/>
  <c r="C50" i="4"/>
  <c r="C9" i="4"/>
  <c r="C44" i="4"/>
  <c r="C72" i="4"/>
  <c r="C100" i="4"/>
  <c r="C128" i="4"/>
  <c r="B87" i="4"/>
  <c r="B115" i="4"/>
  <c r="B143" i="4"/>
  <c r="B73" i="4"/>
  <c r="B101" i="4"/>
  <c r="B129" i="4"/>
  <c r="B59" i="4"/>
  <c r="C25" i="4"/>
  <c r="B25" i="4"/>
  <c r="C11" i="4"/>
  <c r="B11" i="4"/>
  <c r="C19" i="4"/>
  <c r="B19" i="4"/>
  <c r="B120" i="4"/>
  <c r="C120" i="4"/>
  <c r="C28" i="4"/>
  <c r="C56" i="4"/>
  <c r="C84" i="4"/>
  <c r="C112" i="4"/>
  <c r="C140" i="4"/>
  <c r="B31" i="4"/>
  <c r="C106" i="4"/>
  <c r="B106" i="4"/>
  <c r="C47" i="4"/>
  <c r="C66" i="4"/>
  <c r="C75" i="4"/>
  <c r="C94" i="4"/>
  <c r="C122" i="4"/>
  <c r="C131" i="4"/>
  <c r="C150" i="4"/>
  <c r="B45" i="4"/>
  <c r="B36" i="4"/>
  <c r="C36" i="4"/>
  <c r="B64" i="4"/>
  <c r="C64" i="4"/>
  <c r="B92" i="4"/>
  <c r="C92" i="4"/>
  <c r="B148" i="4"/>
  <c r="C148" i="4"/>
  <c r="C38" i="4"/>
  <c r="C103" i="4"/>
  <c r="C13" i="4"/>
  <c r="B13" i="4"/>
  <c r="C39" i="4"/>
  <c r="C67" i="4"/>
  <c r="C95" i="4"/>
  <c r="C123" i="4"/>
  <c r="C151" i="4"/>
  <c r="C155" i="4"/>
  <c r="C71" i="4"/>
  <c r="C57" i="4"/>
  <c r="C43" i="4"/>
  <c r="C141" i="4"/>
  <c r="C146" i="4"/>
  <c r="C132" i="4"/>
  <c r="C118" i="4"/>
  <c r="C104" i="4"/>
  <c r="C90" i="4"/>
  <c r="C76" i="4"/>
  <c r="C62" i="4"/>
  <c r="C48" i="4"/>
  <c r="C34" i="4"/>
  <c r="C20" i="4"/>
  <c r="C127" i="4"/>
  <c r="C113" i="4"/>
  <c r="C99" i="4"/>
  <c r="C29" i="4"/>
  <c r="C85" i="4"/>
  <c r="C135" i="4"/>
  <c r="C121" i="4"/>
  <c r="C51" i="4"/>
  <c r="C107" i="4"/>
  <c r="C93" i="4"/>
  <c r="C37" i="4"/>
  <c r="C149" i="4"/>
  <c r="C79" i="4"/>
  <c r="C65" i="4"/>
  <c r="C144" i="4"/>
  <c r="C130" i="4"/>
  <c r="C116" i="4"/>
  <c r="C102" i="4"/>
  <c r="C88" i="4"/>
  <c r="C74" i="4"/>
  <c r="C60" i="4"/>
  <c r="C46" i="4"/>
  <c r="C32" i="4"/>
  <c r="C18" i="4"/>
  <c r="C14" i="4"/>
  <c r="C21" i="4"/>
  <c r="C30" i="4"/>
  <c r="C58" i="4"/>
  <c r="C86" i="4"/>
  <c r="C114" i="4"/>
  <c r="C142" i="4"/>
  <c r="B27" i="4"/>
  <c r="B41" i="4"/>
  <c r="B55" i="4"/>
  <c r="B69" i="4"/>
  <c r="B83" i="4"/>
  <c r="B97" i="4"/>
  <c r="B111" i="4"/>
  <c r="B125" i="4"/>
  <c r="B139" i="4"/>
  <c r="B153" i="4"/>
  <c r="B47" i="4"/>
  <c r="B61" i="4"/>
  <c r="B75" i="4"/>
  <c r="B89" i="4"/>
  <c r="B103" i="4"/>
  <c r="B117" i="4"/>
  <c r="B131" i="4"/>
  <c r="B145" i="4"/>
  <c r="B10" i="4"/>
  <c r="B24" i="4"/>
  <c r="B38" i="4"/>
  <c r="B52" i="4"/>
  <c r="B66" i="4"/>
  <c r="B80" i="4"/>
  <c r="B94" i="4"/>
  <c r="B108" i="4"/>
  <c r="B122" i="4"/>
  <c r="B136" i="4"/>
  <c r="B150" i="4"/>
  <c r="B39" i="4"/>
  <c r="B53" i="4"/>
  <c r="B67" i="4"/>
  <c r="B81" i="4"/>
  <c r="B95" i="4"/>
  <c r="B109" i="4"/>
  <c r="B123" i="4"/>
  <c r="B137" i="4"/>
  <c r="B151" i="4"/>
  <c r="B16" i="4"/>
  <c r="B30" i="4"/>
  <c r="B44" i="4"/>
  <c r="B58" i="4"/>
  <c r="B72" i="4"/>
  <c r="B86" i="4"/>
  <c r="B100" i="4"/>
  <c r="B114" i="4"/>
  <c r="B128" i="4"/>
  <c r="F5" i="5" l="1"/>
  <c r="G5" i="5" s="1"/>
  <c r="G142" i="5" l="1"/>
  <c r="G114" i="5"/>
  <c r="G21" i="5"/>
  <c r="G41" i="5"/>
  <c r="G85" i="5"/>
  <c r="G68" i="5"/>
  <c r="G49" i="5"/>
  <c r="G106" i="5"/>
  <c r="G34" i="5"/>
  <c r="G136" i="5"/>
  <c r="G119" i="5"/>
  <c r="G37" i="5"/>
  <c r="G83" i="5"/>
  <c r="G125" i="5"/>
  <c r="G132" i="5"/>
  <c r="G75" i="5"/>
  <c r="G124" i="5"/>
  <c r="G74" i="5"/>
  <c r="G16" i="5"/>
  <c r="G103" i="5"/>
  <c r="G112" i="5"/>
  <c r="G44" i="5"/>
  <c r="G95" i="5"/>
  <c r="G36" i="5"/>
  <c r="G129" i="5"/>
  <c r="G80" i="5"/>
  <c r="G27" i="5"/>
  <c r="G11" i="5"/>
  <c r="G150" i="5"/>
  <c r="G104" i="5"/>
  <c r="G26" i="5"/>
  <c r="G7" i="5"/>
  <c r="G31" i="5"/>
  <c r="G24" i="5"/>
  <c r="G63" i="5"/>
  <c r="G127" i="5"/>
  <c r="G138" i="5"/>
  <c r="G107" i="5"/>
  <c r="G146" i="5"/>
  <c r="G109" i="5"/>
  <c r="G152" i="5"/>
  <c r="G19" i="5"/>
  <c r="G77" i="5"/>
  <c r="G81" i="5"/>
  <c r="G111" i="5"/>
  <c r="G139" i="5"/>
  <c r="G134" i="5"/>
  <c r="G131" i="5"/>
  <c r="G42" i="5"/>
  <c r="G90" i="5"/>
  <c r="G148" i="5"/>
  <c r="G153" i="5"/>
  <c r="G78" i="5"/>
  <c r="G118" i="5"/>
  <c r="G56" i="5"/>
  <c r="G22" i="5"/>
  <c r="G91" i="5"/>
  <c r="G154" i="5"/>
  <c r="G18" i="5"/>
  <c r="G28" i="5"/>
  <c r="G48" i="5"/>
  <c r="G73" i="5"/>
  <c r="G12" i="5"/>
  <c r="G17" i="5"/>
  <c r="G69" i="5"/>
  <c r="G99" i="5"/>
  <c r="G128" i="5"/>
  <c r="G110" i="5"/>
  <c r="G15" i="5"/>
  <c r="G86" i="5"/>
  <c r="G46" i="5"/>
  <c r="G108" i="5"/>
  <c r="G62" i="5"/>
  <c r="G10" i="5"/>
  <c r="G64" i="5"/>
  <c r="G133" i="5"/>
  <c r="G47" i="5"/>
  <c r="G87" i="5"/>
  <c r="G137" i="5"/>
  <c r="G115" i="5"/>
  <c r="G123" i="5"/>
  <c r="G144" i="5"/>
  <c r="G79" i="5"/>
  <c r="G149" i="5"/>
  <c r="G96" i="5"/>
  <c r="G43" i="5"/>
  <c r="G23" i="5"/>
  <c r="G94" i="5"/>
  <c r="G89" i="5"/>
  <c r="G39" i="5"/>
  <c r="G116" i="5"/>
  <c r="G8" i="5"/>
  <c r="G60" i="5"/>
  <c r="G45" i="5"/>
  <c r="G92" i="5"/>
  <c r="G102" i="5"/>
  <c r="G145" i="5"/>
  <c r="G33" i="5"/>
  <c r="G84" i="5"/>
  <c r="G61" i="5"/>
  <c r="G117" i="5"/>
  <c r="G147" i="5"/>
  <c r="G6" i="5"/>
  <c r="G25" i="5"/>
  <c r="G55" i="5"/>
  <c r="G29" i="5"/>
  <c r="G140" i="5"/>
  <c r="G93" i="5"/>
  <c r="G126" i="5"/>
  <c r="G143" i="5"/>
  <c r="G105" i="5"/>
  <c r="G70" i="5"/>
  <c r="G72" i="5"/>
  <c r="G71" i="5"/>
  <c r="G98" i="5"/>
  <c r="G66" i="5"/>
  <c r="G120" i="5"/>
  <c r="G50" i="5"/>
  <c r="G100" i="5"/>
  <c r="G52" i="5"/>
  <c r="G14" i="5"/>
  <c r="G30" i="5"/>
  <c r="G122" i="5"/>
  <c r="G32" i="5"/>
  <c r="G53" i="5"/>
  <c r="G121" i="5"/>
  <c r="G135" i="5"/>
  <c r="G130" i="5"/>
  <c r="G9" i="5"/>
  <c r="G113" i="5"/>
  <c r="G97" i="5"/>
  <c r="G82" i="5"/>
  <c r="G65" i="5"/>
  <c r="G101" i="5"/>
  <c r="G40" i="5"/>
  <c r="G54" i="5"/>
  <c r="G151" i="5"/>
  <c r="G88" i="5"/>
  <c r="G57" i="5"/>
  <c r="G58" i="5"/>
  <c r="G141" i="5"/>
  <c r="G59" i="5"/>
  <c r="G76" i="5"/>
  <c r="G35" i="5"/>
  <c r="G51" i="5"/>
  <c r="G67" i="5"/>
  <c r="G13" i="5"/>
  <c r="G38" i="5"/>
  <c r="G20" i="5"/>
</calcChain>
</file>

<file path=xl/sharedStrings.xml><?xml version="1.0" encoding="utf-8"?>
<sst xmlns="http://schemas.openxmlformats.org/spreadsheetml/2006/main" count="257" uniqueCount="76">
  <si>
    <t>Laboratorio 1 – Iris (Excel 365, IT)</t>
  </si>
  <si>
    <t>Cosa fare (ordine consigliato)</t>
  </si>
  <si>
    <t>1) Dati_grezzi: identifica feature (A:D) e target (species).</t>
  </si>
  <si>
    <t>2) Statistiche_guidate: Media/Min/Max per specie sono già pronte. Completa Mediana/Std/Q1/Q3 usando FILTRI di Excel (Filtro per species) e le funzioni dalla barra formule.</t>
  </si>
  <si>
    <t>3) Distribuzioni: istogrammi per una feature sepal e una petal (anche per specie).</t>
  </si>
  <si>
    <t>4) Scatter: petal length vs petal width con 3 serie (una per specie).</t>
  </si>
  <si>
    <t>5) Preprocessing: scegli una feature (B3) e osserva z-score e min-max.</t>
  </si>
  <si>
    <t>6) Outlier_IQR: confronta outlier con 1.5×IQR e con |Z|&gt;3.</t>
  </si>
  <si>
    <t>7) Consegna: rispondi alle domande e inserisci screenshot dei grafici.</t>
  </si>
  <si>
    <t>sepal length (cm)</t>
  </si>
  <si>
    <t>sepal width (cm)</t>
  </si>
  <si>
    <t>petal length (cm)</t>
  </si>
  <si>
    <t>petal width (cm)</t>
  </si>
  <si>
    <t>species</t>
  </si>
  <si>
    <t>bin</t>
  </si>
  <si>
    <t>Contatore</t>
  </si>
  <si>
    <t>Colonna di classe</t>
  </si>
  <si>
    <t>setosa</t>
  </si>
  <si>
    <t>versicolor</t>
  </si>
  <si>
    <t>virginica</t>
  </si>
  <si>
    <t>Feature</t>
  </si>
  <si>
    <t>Species</t>
  </si>
  <si>
    <t>Media</t>
  </si>
  <si>
    <t>Mediana (da calcolare)</t>
  </si>
  <si>
    <t>Dev.std (da calcolare)</t>
  </si>
  <si>
    <t>Min</t>
  </si>
  <si>
    <t>Max</t>
  </si>
  <si>
    <t>Q1 (da calcolare)</t>
  </si>
  <si>
    <t>Q3 (da calcolare)</t>
  </si>
  <si>
    <t>IQR (da calcolare)</t>
  </si>
  <si>
    <t>Per completare Mediana/Dev.std/Q1/Q3: applica un Filtro su Dati_grezzi per species, poi usa MEDIAN, STDEV.S, QUARTILE.INC su una colonna filtrata (o copia i valori filtrati in una colonna d’appoggio).</t>
  </si>
  <si>
    <t>Preprocessing su una feature</t>
  </si>
  <si>
    <t>Feature scelta (scrivi esattamente come in Dati_grezzi):</t>
  </si>
  <si>
    <t>Formula dello z Score: z=(x−μ)/σ
	​</t>
  </si>
  <si>
    <t>Formula del Min -Max x′=(x−min)/(max−min)​</t>
  </si>
  <si>
    <t>Valori originali</t>
  </si>
  <si>
    <t>Z-score</t>
  </si>
  <si>
    <t>Min-Max [0,1]</t>
  </si>
  <si>
    <t>Dev.std</t>
  </si>
  <si>
    <t>Outlier: 1.5×IQR vs |Z|&gt;3</t>
  </si>
  <si>
    <t>Feature scelta:</t>
  </si>
  <si>
    <t>Valore</t>
  </si>
  <si>
    <t>Q1</t>
  </si>
  <si>
    <t>Q3</t>
  </si>
  <si>
    <t>IQR</t>
  </si>
  <si>
    <t>Lower</t>
  </si>
  <si>
    <t>Upper</t>
  </si>
  <si>
    <t>Outlier_IQR?</t>
  </si>
  <si>
    <t>|Z|&gt;3?</t>
  </si>
  <si>
    <t>Scatter plot (da creare in Excel)</t>
  </si>
  <si>
    <t>Crea uno scatter: x = petal length (cm), y = petal width (cm). Colora per specie (3 serie).</t>
  </si>
  <si>
    <t>Distribuzioni (istogrammi)</t>
  </si>
  <si>
    <t>Crea istogrammi per una feature sepal e una petal. Poi ripeti per specie.</t>
  </si>
  <si>
    <t>Somma di Contatore</t>
  </si>
  <si>
    <t>Etichette di colonna</t>
  </si>
  <si>
    <t>Etichette di riga</t>
  </si>
  <si>
    <t>Alto</t>
  </si>
  <si>
    <t>Basso</t>
  </si>
  <si>
    <t>Medio</t>
  </si>
  <si>
    <t>Totale complessivo</t>
  </si>
  <si>
    <t>Valori attesi</t>
  </si>
  <si>
    <t>Valori attesi, li calcoliamo come:  ((valore riga)*(totale colonna))/(totale complessivo)</t>
  </si>
  <si>
    <t>la nostra H0 era che le due sono indipendenti, è vero?</t>
  </si>
  <si>
    <t>Consegna</t>
  </si>
  <si>
    <t>Rispondi in modo conciso e incolla screenshot dei grafici.</t>
  </si>
  <si>
    <t>Q1) Quale coppia di feature separa meglio le classi?</t>
  </si>
  <si>
    <t>Q2) Dove vedi sovrapposizioni tra classi?</t>
  </si>
  <si>
    <t>Q3) Hai trovato outlier? Sono errori o informazione?</t>
  </si>
  <si>
    <t>Q4) Z-score vs Min-Max: quando useresti l’uno o l’altro?</t>
  </si>
  <si>
    <t>Q5) Perché è importante standardizzare prima di alcuni modelli?</t>
  </si>
  <si>
    <t>Lunghezza del petalo</t>
  </si>
  <si>
    <t>Setosa</t>
  </si>
  <si>
    <t>Versicolor</t>
  </si>
  <si>
    <t>Virginica</t>
  </si>
  <si>
    <t>Quindi, applichiamo il chi quadro</t>
  </si>
  <si>
    <t>Test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</si>
</sst>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i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0" fontId="3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0" fontId="5" fillId="2" borderId="0" xfId="0" applyFont="1" applyFill="1"/>
    <xf numFmtId="0" fontId="3" fillId="0" borderId="0" xfId="0" applyFont="1" applyAlignment="1">
      <alignment vertical="top" wrapText="1"/>
    </xf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orgia Morelli" refreshedDate="46080.713944328701" createdVersion="8" refreshedVersion="8" minRefreshableVersion="3" recordCount="150" xr:uid="{517BB81A-8A5C-4565-91A9-F12843244D67}">
  <cacheSource type="worksheet">
    <worksheetSource ref="E1:G151" sheet="Dati_grezzi"/>
  </cacheSource>
  <cacheFields count="3">
    <cacheField name="species" numFmtId="0">
      <sharedItems count="3">
        <s v="setosa"/>
        <s v="versicolor"/>
        <s v="virginica"/>
      </sharedItems>
    </cacheField>
    <cacheField name="bin" numFmtId="0">
      <sharedItems count="3">
        <s v="Basso"/>
        <s v="Medio"/>
        <s v="Alto"/>
      </sharedItems>
    </cacheField>
    <cacheField name="Contatore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2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2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1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1"/>
    <n v="1"/>
  </r>
  <r>
    <x v="2"/>
    <x v="2"/>
    <n v="1"/>
  </r>
  <r>
    <x v="2"/>
    <x v="1"/>
    <n v="1"/>
  </r>
  <r>
    <x v="2"/>
    <x v="2"/>
    <n v="1"/>
  </r>
  <r>
    <x v="2"/>
    <x v="2"/>
    <n v="1"/>
  </r>
  <r>
    <x v="2"/>
    <x v="1"/>
    <n v="1"/>
  </r>
  <r>
    <x v="2"/>
    <x v="1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1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2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BC0138-36EC-407B-9CFD-362C426E4BE0}" name="Tabella pivot2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E8" firstHeaderRow="1" firstDataRow="2" firstDataCol="1"/>
  <pivotFields count="3"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2"/>
        <item x="0"/>
        <item x="1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omma di Contator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>
      <selection activeCell="A10" sqref="A10"/>
    </sheetView>
  </sheetViews>
  <sheetFormatPr defaultRowHeight="15" x14ac:dyDescent="0.25"/>
  <cols>
    <col min="1" max="1" width="130" customWidth="1"/>
  </cols>
  <sheetData>
    <row r="1" spans="1:1" ht="18.75" x14ac:dyDescent="0.3">
      <c r="A1" s="1" t="s">
        <v>0</v>
      </c>
    </row>
    <row r="3" spans="1:1" x14ac:dyDescent="0.25">
      <c r="A3" s="2" t="s">
        <v>1</v>
      </c>
    </row>
    <row r="4" spans="1:1" x14ac:dyDescent="0.25">
      <c r="A4" s="3" t="s">
        <v>2</v>
      </c>
    </row>
    <row r="5" spans="1:1" ht="30" x14ac:dyDescent="0.25">
      <c r="A5" s="3" t="s">
        <v>3</v>
      </c>
    </row>
    <row r="6" spans="1:1" x14ac:dyDescent="0.25">
      <c r="A6" s="3" t="s">
        <v>4</v>
      </c>
    </row>
    <row r="7" spans="1:1" x14ac:dyDescent="0.25">
      <c r="A7" s="3" t="s">
        <v>5</v>
      </c>
    </row>
    <row r="8" spans="1:1" x14ac:dyDescent="0.25">
      <c r="A8" s="3" t="s">
        <v>6</v>
      </c>
    </row>
    <row r="9" spans="1:1" x14ac:dyDescent="0.25">
      <c r="A9" s="3" t="s">
        <v>7</v>
      </c>
    </row>
    <row r="10" spans="1:1" x14ac:dyDescent="0.25">
      <c r="A10" s="3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1"/>
  <sheetViews>
    <sheetView workbookViewId="0">
      <selection activeCell="J7" sqref="J7"/>
    </sheetView>
  </sheetViews>
  <sheetFormatPr defaultRowHeight="15" x14ac:dyDescent="0.25"/>
  <cols>
    <col min="1" max="1" width="19" customWidth="1"/>
    <col min="2" max="2" width="18" customWidth="1"/>
    <col min="3" max="3" width="19" customWidth="1"/>
    <col min="4" max="4" width="18" customWidth="1"/>
    <col min="5" max="5" width="10.5703125" customWidth="1"/>
    <col min="6" max="6" width="17.42578125" customWidth="1"/>
    <col min="7" max="7" width="12.28515625" customWidth="1"/>
    <col min="8" max="8" width="10.5703125" customWidth="1"/>
    <col min="9" max="9" width="12" bestFit="1" customWidth="1"/>
    <col min="10" max="10" width="23" customWidth="1"/>
  </cols>
  <sheetData>
    <row r="1" spans="1:10" x14ac:dyDescent="0.25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I1" s="10" t="s">
        <v>75</v>
      </c>
      <c r="J1" s="10" t="s">
        <v>16</v>
      </c>
    </row>
    <row r="2" spans="1:10" x14ac:dyDescent="0.25">
      <c r="A2">
        <v>5.0999999999999996</v>
      </c>
      <c r="B2">
        <v>3.5</v>
      </c>
      <c r="C2">
        <v>1.4</v>
      </c>
      <c r="D2">
        <v>0.2</v>
      </c>
      <c r="E2" t="s">
        <v>17</v>
      </c>
      <c r="F2" t="str">
        <f>IF(Dati_grezzi!C2&lt;=$J$2,"Basso",IF(C2&lt;=$J$3,"Medio","Alto"))</f>
        <v>Basso</v>
      </c>
      <c r="G2">
        <v>1</v>
      </c>
      <c r="I2">
        <f>TTEST(C2:C51,C52:C101,2,3)</f>
        <v>9.9344329575875926E-46</v>
      </c>
      <c r="J2">
        <f>_xlfn.PERCENTILE.INC(Dati_grezzi!C2:C151,0.3333)</f>
        <v>2.6278699999999957</v>
      </c>
    </row>
    <row r="3" spans="1:10" x14ac:dyDescent="0.25">
      <c r="A3">
        <v>4.9000000000000004</v>
      </c>
      <c r="B3">
        <v>3</v>
      </c>
      <c r="C3">
        <v>1.4</v>
      </c>
      <c r="D3">
        <v>0.2</v>
      </c>
      <c r="E3" t="s">
        <v>17</v>
      </c>
      <c r="F3" t="str">
        <f>IF(Dati_grezzi!C3&lt;=$J$2,"Basso",IF(C3&lt;=$J$3,"Medio","Alto"))</f>
        <v>Basso</v>
      </c>
      <c r="G3">
        <v>1</v>
      </c>
      <c r="J3">
        <f>_xlfn.PERCENTILE.INC(Dati_grezzi!C2:C151,0.66666)</f>
        <v>4.9000000000000004</v>
      </c>
    </row>
    <row r="4" spans="1:10" x14ac:dyDescent="0.25">
      <c r="A4">
        <v>4.7</v>
      </c>
      <c r="B4">
        <v>3.2</v>
      </c>
      <c r="C4">
        <v>1.3</v>
      </c>
      <c r="D4">
        <v>0.2</v>
      </c>
      <c r="E4" t="s">
        <v>17</v>
      </c>
      <c r="F4" t="str">
        <f>IF(Dati_grezzi!C4&lt;=$J$2,"Basso",IF(C4&lt;=$J$3,"Medio","Alto"))</f>
        <v>Basso</v>
      </c>
      <c r="G4">
        <v>1</v>
      </c>
    </row>
    <row r="5" spans="1:10" x14ac:dyDescent="0.25">
      <c r="A5">
        <v>4.5999999999999996</v>
      </c>
      <c r="B5">
        <v>3.1</v>
      </c>
      <c r="C5">
        <v>1.5</v>
      </c>
      <c r="D5">
        <v>0.2</v>
      </c>
      <c r="E5" t="s">
        <v>17</v>
      </c>
      <c r="F5" t="str">
        <f>IF(Dati_grezzi!C5&lt;=$J$2,"Basso",IF(C5&lt;=$J$3,"Medio","Alto"))</f>
        <v>Basso</v>
      </c>
      <c r="G5">
        <v>1</v>
      </c>
    </row>
    <row r="6" spans="1:10" x14ac:dyDescent="0.25">
      <c r="A6">
        <v>5</v>
      </c>
      <c r="B6">
        <v>3.6</v>
      </c>
      <c r="C6">
        <v>1.4</v>
      </c>
      <c r="D6">
        <v>0.2</v>
      </c>
      <c r="E6" t="s">
        <v>17</v>
      </c>
      <c r="F6" t="str">
        <f>IF(Dati_grezzi!C6&lt;=$J$2,"Basso",IF(C6&lt;=$J$3,"Medio","Alto"))</f>
        <v>Basso</v>
      </c>
      <c r="G6">
        <v>1</v>
      </c>
    </row>
    <row r="7" spans="1:10" x14ac:dyDescent="0.25">
      <c r="A7">
        <v>5.4</v>
      </c>
      <c r="B7">
        <v>3.9</v>
      </c>
      <c r="C7">
        <v>1.7</v>
      </c>
      <c r="D7">
        <v>0.4</v>
      </c>
      <c r="E7" t="s">
        <v>17</v>
      </c>
      <c r="F7" t="str">
        <f>IF(Dati_grezzi!C7&lt;=$J$2,"Basso",IF(C7&lt;=$J$3,"Medio","Alto"))</f>
        <v>Basso</v>
      </c>
      <c r="G7">
        <v>1</v>
      </c>
    </row>
    <row r="8" spans="1:10" x14ac:dyDescent="0.25">
      <c r="A8">
        <v>4.5999999999999996</v>
      </c>
      <c r="B8">
        <v>3.4</v>
      </c>
      <c r="C8">
        <v>1.4</v>
      </c>
      <c r="D8">
        <v>0.3</v>
      </c>
      <c r="E8" t="s">
        <v>17</v>
      </c>
      <c r="F8" t="str">
        <f>IF(Dati_grezzi!C8&lt;=$J$2,"Basso",IF(C8&lt;=$J$3,"Medio","Alto"))</f>
        <v>Basso</v>
      </c>
      <c r="G8">
        <v>1</v>
      </c>
    </row>
    <row r="9" spans="1:10" x14ac:dyDescent="0.25">
      <c r="A9">
        <v>5</v>
      </c>
      <c r="B9">
        <v>3.4</v>
      </c>
      <c r="C9">
        <v>1.5</v>
      </c>
      <c r="D9">
        <v>0.2</v>
      </c>
      <c r="E9" t="s">
        <v>17</v>
      </c>
      <c r="F9" t="str">
        <f>IF(Dati_grezzi!C9&lt;=$J$2,"Basso",IF(C9&lt;=$J$3,"Medio","Alto"))</f>
        <v>Basso</v>
      </c>
      <c r="G9">
        <v>1</v>
      </c>
    </row>
    <row r="10" spans="1:10" x14ac:dyDescent="0.25">
      <c r="A10">
        <v>4.4000000000000004</v>
      </c>
      <c r="B10">
        <v>2.9</v>
      </c>
      <c r="C10">
        <v>1.4</v>
      </c>
      <c r="D10">
        <v>0.2</v>
      </c>
      <c r="E10" t="s">
        <v>17</v>
      </c>
      <c r="F10" t="str">
        <f>IF(Dati_grezzi!C10&lt;=$J$2,"Basso",IF(C10&lt;=$J$3,"Medio","Alto"))</f>
        <v>Basso</v>
      </c>
      <c r="G10">
        <v>1</v>
      </c>
    </row>
    <row r="11" spans="1:10" x14ac:dyDescent="0.25">
      <c r="A11">
        <v>4.9000000000000004</v>
      </c>
      <c r="B11">
        <v>3.1</v>
      </c>
      <c r="C11">
        <v>1.5</v>
      </c>
      <c r="D11">
        <v>0.1</v>
      </c>
      <c r="E11" t="s">
        <v>17</v>
      </c>
      <c r="F11" t="str">
        <f>IF(Dati_grezzi!C11&lt;=$J$2,"Basso",IF(C11&lt;=$J$3,"Medio","Alto"))</f>
        <v>Basso</v>
      </c>
      <c r="G11">
        <v>1</v>
      </c>
    </row>
    <row r="12" spans="1:10" x14ac:dyDescent="0.25">
      <c r="A12">
        <v>5.4</v>
      </c>
      <c r="B12">
        <v>3.7</v>
      </c>
      <c r="C12">
        <v>1.5</v>
      </c>
      <c r="D12">
        <v>0.2</v>
      </c>
      <c r="E12" t="s">
        <v>17</v>
      </c>
      <c r="F12" t="str">
        <f>IF(Dati_grezzi!C12&lt;=$J$2,"Basso",IF(C12&lt;=$J$3,"Medio","Alto"))</f>
        <v>Basso</v>
      </c>
      <c r="G12">
        <v>1</v>
      </c>
    </row>
    <row r="13" spans="1:10" x14ac:dyDescent="0.25">
      <c r="A13">
        <v>4.8</v>
      </c>
      <c r="B13">
        <v>3.4</v>
      </c>
      <c r="C13">
        <v>1.6</v>
      </c>
      <c r="D13">
        <v>0.2</v>
      </c>
      <c r="E13" t="s">
        <v>17</v>
      </c>
      <c r="F13" t="str">
        <f>IF(Dati_grezzi!C13&lt;=$J$2,"Basso",IF(C13&lt;=$J$3,"Medio","Alto"))</f>
        <v>Basso</v>
      </c>
      <c r="G13">
        <v>1</v>
      </c>
    </row>
    <row r="14" spans="1:10" x14ac:dyDescent="0.25">
      <c r="A14">
        <v>4.8</v>
      </c>
      <c r="B14">
        <v>3</v>
      </c>
      <c r="C14">
        <v>1.4</v>
      </c>
      <c r="D14">
        <v>0.1</v>
      </c>
      <c r="E14" t="s">
        <v>17</v>
      </c>
      <c r="F14" t="str">
        <f>IF(Dati_grezzi!C14&lt;=$J$2,"Basso",IF(C14&lt;=$J$3,"Medio","Alto"))</f>
        <v>Basso</v>
      </c>
      <c r="G14">
        <v>1</v>
      </c>
    </row>
    <row r="15" spans="1:10" x14ac:dyDescent="0.25">
      <c r="A15">
        <v>4.3</v>
      </c>
      <c r="B15">
        <v>3</v>
      </c>
      <c r="C15">
        <v>1.1000000000000001</v>
      </c>
      <c r="D15">
        <v>0.1</v>
      </c>
      <c r="E15" t="s">
        <v>17</v>
      </c>
      <c r="F15" t="str">
        <f>IF(Dati_grezzi!C15&lt;=$J$2,"Basso",IF(C15&lt;=$J$3,"Medio","Alto"))</f>
        <v>Basso</v>
      </c>
      <c r="G15">
        <v>1</v>
      </c>
    </row>
    <row r="16" spans="1:10" x14ac:dyDescent="0.25">
      <c r="A16">
        <v>5.8</v>
      </c>
      <c r="B16">
        <v>4</v>
      </c>
      <c r="C16">
        <v>1.2</v>
      </c>
      <c r="D16">
        <v>0.2</v>
      </c>
      <c r="E16" t="s">
        <v>17</v>
      </c>
      <c r="F16" t="str">
        <f>IF(Dati_grezzi!C16&lt;=$J$2,"Basso",IF(C16&lt;=$J$3,"Medio","Alto"))</f>
        <v>Basso</v>
      </c>
      <c r="G16">
        <v>1</v>
      </c>
    </row>
    <row r="17" spans="1:7" x14ac:dyDescent="0.25">
      <c r="A17">
        <v>5.7</v>
      </c>
      <c r="B17">
        <v>4.4000000000000004</v>
      </c>
      <c r="C17">
        <v>1.5</v>
      </c>
      <c r="D17">
        <v>0.4</v>
      </c>
      <c r="E17" t="s">
        <v>17</v>
      </c>
      <c r="F17" t="str">
        <f>IF(Dati_grezzi!C17&lt;=$J$2,"Basso",IF(C17&lt;=$J$3,"Medio","Alto"))</f>
        <v>Basso</v>
      </c>
      <c r="G17">
        <v>1</v>
      </c>
    </row>
    <row r="18" spans="1:7" x14ac:dyDescent="0.25">
      <c r="A18">
        <v>5.4</v>
      </c>
      <c r="B18">
        <v>3.9</v>
      </c>
      <c r="C18">
        <v>1.3</v>
      </c>
      <c r="D18">
        <v>0.4</v>
      </c>
      <c r="E18" t="s">
        <v>17</v>
      </c>
      <c r="F18" t="str">
        <f>IF(Dati_grezzi!C18&lt;=$J$2,"Basso",IF(C18&lt;=$J$3,"Medio","Alto"))</f>
        <v>Basso</v>
      </c>
      <c r="G18">
        <v>1</v>
      </c>
    </row>
    <row r="19" spans="1:7" x14ac:dyDescent="0.25">
      <c r="A19">
        <v>5.0999999999999996</v>
      </c>
      <c r="B19">
        <v>3.5</v>
      </c>
      <c r="C19">
        <v>1.4</v>
      </c>
      <c r="D19">
        <v>0.3</v>
      </c>
      <c r="E19" t="s">
        <v>17</v>
      </c>
      <c r="F19" t="str">
        <f>IF(Dati_grezzi!C19&lt;=$J$2,"Basso",IF(C19&lt;=$J$3,"Medio","Alto"))</f>
        <v>Basso</v>
      </c>
      <c r="G19">
        <v>1</v>
      </c>
    </row>
    <row r="20" spans="1:7" x14ac:dyDescent="0.25">
      <c r="A20">
        <v>5.7</v>
      </c>
      <c r="B20">
        <v>3.8</v>
      </c>
      <c r="C20">
        <v>1.7</v>
      </c>
      <c r="D20">
        <v>0.3</v>
      </c>
      <c r="E20" t="s">
        <v>17</v>
      </c>
      <c r="F20" t="str">
        <f>IF(Dati_grezzi!C20&lt;=$J$2,"Basso",IF(C20&lt;=$J$3,"Medio","Alto"))</f>
        <v>Basso</v>
      </c>
      <c r="G20">
        <v>1</v>
      </c>
    </row>
    <row r="21" spans="1:7" x14ac:dyDescent="0.25">
      <c r="A21">
        <v>5.0999999999999996</v>
      </c>
      <c r="B21">
        <v>3.8</v>
      </c>
      <c r="C21">
        <v>1.5</v>
      </c>
      <c r="D21">
        <v>0.3</v>
      </c>
      <c r="E21" t="s">
        <v>17</v>
      </c>
      <c r="F21" t="str">
        <f>IF(Dati_grezzi!C21&lt;=$J$2,"Basso",IF(C21&lt;=$J$3,"Medio","Alto"))</f>
        <v>Basso</v>
      </c>
      <c r="G21">
        <v>1</v>
      </c>
    </row>
    <row r="22" spans="1:7" x14ac:dyDescent="0.25">
      <c r="A22">
        <v>5.4</v>
      </c>
      <c r="B22">
        <v>3.4</v>
      </c>
      <c r="C22">
        <v>1.7</v>
      </c>
      <c r="D22">
        <v>0.2</v>
      </c>
      <c r="E22" t="s">
        <v>17</v>
      </c>
      <c r="F22" t="str">
        <f>IF(Dati_grezzi!C22&lt;=$J$2,"Basso",IF(C22&lt;=$J$3,"Medio","Alto"))</f>
        <v>Basso</v>
      </c>
      <c r="G22">
        <v>1</v>
      </c>
    </row>
    <row r="23" spans="1:7" x14ac:dyDescent="0.25">
      <c r="A23">
        <v>5.0999999999999996</v>
      </c>
      <c r="B23">
        <v>3.7</v>
      </c>
      <c r="C23">
        <v>1.5</v>
      </c>
      <c r="D23">
        <v>0.4</v>
      </c>
      <c r="E23" t="s">
        <v>17</v>
      </c>
      <c r="F23" t="str">
        <f>IF(Dati_grezzi!C23&lt;=$J$2,"Basso",IF(C23&lt;=$J$3,"Medio","Alto"))</f>
        <v>Basso</v>
      </c>
      <c r="G23">
        <v>1</v>
      </c>
    </row>
    <row r="24" spans="1:7" x14ac:dyDescent="0.25">
      <c r="A24">
        <v>4.5999999999999996</v>
      </c>
      <c r="B24">
        <v>3.6</v>
      </c>
      <c r="C24">
        <v>1</v>
      </c>
      <c r="D24">
        <v>0.2</v>
      </c>
      <c r="E24" t="s">
        <v>17</v>
      </c>
      <c r="F24" t="str">
        <f>IF(Dati_grezzi!C24&lt;=$J$2,"Basso",IF(C24&lt;=$J$3,"Medio","Alto"))</f>
        <v>Basso</v>
      </c>
      <c r="G24">
        <v>1</v>
      </c>
    </row>
    <row r="25" spans="1:7" x14ac:dyDescent="0.25">
      <c r="A25">
        <v>5.0999999999999996</v>
      </c>
      <c r="B25">
        <v>3.3</v>
      </c>
      <c r="C25">
        <v>1.7</v>
      </c>
      <c r="D25">
        <v>0.5</v>
      </c>
      <c r="E25" t="s">
        <v>17</v>
      </c>
      <c r="F25" t="str">
        <f>IF(Dati_grezzi!C25&lt;=$J$2,"Basso",IF(C25&lt;=$J$3,"Medio","Alto"))</f>
        <v>Basso</v>
      </c>
      <c r="G25">
        <v>1</v>
      </c>
    </row>
    <row r="26" spans="1:7" x14ac:dyDescent="0.25">
      <c r="A26">
        <v>4.8</v>
      </c>
      <c r="B26">
        <v>3.4</v>
      </c>
      <c r="C26">
        <v>1.9</v>
      </c>
      <c r="D26">
        <v>0.2</v>
      </c>
      <c r="E26" t="s">
        <v>17</v>
      </c>
      <c r="F26" t="str">
        <f>IF(Dati_grezzi!C26&lt;=$J$2,"Basso",IF(C26&lt;=$J$3,"Medio","Alto"))</f>
        <v>Basso</v>
      </c>
      <c r="G26">
        <v>1</v>
      </c>
    </row>
    <row r="27" spans="1:7" x14ac:dyDescent="0.25">
      <c r="A27">
        <v>5</v>
      </c>
      <c r="B27">
        <v>3</v>
      </c>
      <c r="C27">
        <v>1.6</v>
      </c>
      <c r="D27">
        <v>0.2</v>
      </c>
      <c r="E27" t="s">
        <v>17</v>
      </c>
      <c r="F27" t="str">
        <f>IF(Dati_grezzi!C27&lt;=$J$2,"Basso",IF(C27&lt;=$J$3,"Medio","Alto"))</f>
        <v>Basso</v>
      </c>
      <c r="G27">
        <v>1</v>
      </c>
    </row>
    <row r="28" spans="1:7" x14ac:dyDescent="0.25">
      <c r="A28">
        <v>5</v>
      </c>
      <c r="B28">
        <v>3.4</v>
      </c>
      <c r="C28">
        <v>1.6</v>
      </c>
      <c r="D28">
        <v>0.4</v>
      </c>
      <c r="E28" t="s">
        <v>17</v>
      </c>
      <c r="F28" t="str">
        <f>IF(Dati_grezzi!C28&lt;=$J$2,"Basso",IF(C28&lt;=$J$3,"Medio","Alto"))</f>
        <v>Basso</v>
      </c>
      <c r="G28">
        <v>1</v>
      </c>
    </row>
    <row r="29" spans="1:7" x14ac:dyDescent="0.25">
      <c r="A29">
        <v>5.2</v>
      </c>
      <c r="B29">
        <v>3.5</v>
      </c>
      <c r="C29">
        <v>1.5</v>
      </c>
      <c r="D29">
        <v>0.2</v>
      </c>
      <c r="E29" t="s">
        <v>17</v>
      </c>
      <c r="F29" t="str">
        <f>IF(Dati_grezzi!C29&lt;=$J$2,"Basso",IF(C29&lt;=$J$3,"Medio","Alto"))</f>
        <v>Basso</v>
      </c>
      <c r="G29">
        <v>1</v>
      </c>
    </row>
    <row r="30" spans="1:7" x14ac:dyDescent="0.25">
      <c r="A30">
        <v>5.2</v>
      </c>
      <c r="B30">
        <v>3.4</v>
      </c>
      <c r="C30">
        <v>1.4</v>
      </c>
      <c r="D30">
        <v>0.2</v>
      </c>
      <c r="E30" t="s">
        <v>17</v>
      </c>
      <c r="F30" t="str">
        <f>IF(Dati_grezzi!C30&lt;=$J$2,"Basso",IF(C30&lt;=$J$3,"Medio","Alto"))</f>
        <v>Basso</v>
      </c>
      <c r="G30">
        <v>1</v>
      </c>
    </row>
    <row r="31" spans="1:7" x14ac:dyDescent="0.25">
      <c r="A31">
        <v>4.7</v>
      </c>
      <c r="B31">
        <v>3.2</v>
      </c>
      <c r="C31">
        <v>1.6</v>
      </c>
      <c r="D31">
        <v>0.2</v>
      </c>
      <c r="E31" t="s">
        <v>17</v>
      </c>
      <c r="F31" t="str">
        <f>IF(Dati_grezzi!C31&lt;=$J$2,"Basso",IF(C31&lt;=$J$3,"Medio","Alto"))</f>
        <v>Basso</v>
      </c>
      <c r="G31">
        <v>1</v>
      </c>
    </row>
    <row r="32" spans="1:7" x14ac:dyDescent="0.25">
      <c r="A32">
        <v>4.8</v>
      </c>
      <c r="B32">
        <v>3.1</v>
      </c>
      <c r="C32">
        <v>1.6</v>
      </c>
      <c r="D32">
        <v>0.2</v>
      </c>
      <c r="E32" t="s">
        <v>17</v>
      </c>
      <c r="F32" t="str">
        <f>IF(Dati_grezzi!C32&lt;=$J$2,"Basso",IF(C32&lt;=$J$3,"Medio","Alto"))</f>
        <v>Basso</v>
      </c>
      <c r="G32">
        <v>1</v>
      </c>
    </row>
    <row r="33" spans="1:7" x14ac:dyDescent="0.25">
      <c r="A33">
        <v>5.4</v>
      </c>
      <c r="B33">
        <v>3.4</v>
      </c>
      <c r="C33">
        <v>1.5</v>
      </c>
      <c r="D33">
        <v>0.4</v>
      </c>
      <c r="E33" t="s">
        <v>17</v>
      </c>
      <c r="F33" t="str">
        <f>IF(Dati_grezzi!C33&lt;=$J$2,"Basso",IF(C33&lt;=$J$3,"Medio","Alto"))</f>
        <v>Basso</v>
      </c>
      <c r="G33">
        <v>1</v>
      </c>
    </row>
    <row r="34" spans="1:7" x14ac:dyDescent="0.25">
      <c r="A34">
        <v>5.2</v>
      </c>
      <c r="B34">
        <v>4.0999999999999996</v>
      </c>
      <c r="C34">
        <v>1.5</v>
      </c>
      <c r="D34">
        <v>0.1</v>
      </c>
      <c r="E34" t="s">
        <v>17</v>
      </c>
      <c r="F34" t="str">
        <f>IF(Dati_grezzi!C34&lt;=$J$2,"Basso",IF(C34&lt;=$J$3,"Medio","Alto"))</f>
        <v>Basso</v>
      </c>
      <c r="G34">
        <v>1</v>
      </c>
    </row>
    <row r="35" spans="1:7" x14ac:dyDescent="0.25">
      <c r="A35">
        <v>5.5</v>
      </c>
      <c r="B35">
        <v>4.2</v>
      </c>
      <c r="C35">
        <v>1.4</v>
      </c>
      <c r="D35">
        <v>0.2</v>
      </c>
      <c r="E35" t="s">
        <v>17</v>
      </c>
      <c r="F35" t="str">
        <f>IF(Dati_grezzi!C35&lt;=$J$2,"Basso",IF(C35&lt;=$J$3,"Medio","Alto"))</f>
        <v>Basso</v>
      </c>
      <c r="G35">
        <v>1</v>
      </c>
    </row>
    <row r="36" spans="1:7" x14ac:dyDescent="0.25">
      <c r="A36">
        <v>4.9000000000000004</v>
      </c>
      <c r="B36">
        <v>3.1</v>
      </c>
      <c r="C36">
        <v>1.5</v>
      </c>
      <c r="D36">
        <v>0.2</v>
      </c>
      <c r="E36" t="s">
        <v>17</v>
      </c>
      <c r="F36" t="str">
        <f>IF(Dati_grezzi!C36&lt;=$J$2,"Basso",IF(C36&lt;=$J$3,"Medio","Alto"))</f>
        <v>Basso</v>
      </c>
      <c r="G36">
        <v>1</v>
      </c>
    </row>
    <row r="37" spans="1:7" x14ac:dyDescent="0.25">
      <c r="A37">
        <v>5</v>
      </c>
      <c r="B37">
        <v>3.2</v>
      </c>
      <c r="C37">
        <v>1.2</v>
      </c>
      <c r="D37">
        <v>0.2</v>
      </c>
      <c r="E37" t="s">
        <v>17</v>
      </c>
      <c r="F37" t="str">
        <f>IF(Dati_grezzi!C37&lt;=$J$2,"Basso",IF(C37&lt;=$J$3,"Medio","Alto"))</f>
        <v>Basso</v>
      </c>
      <c r="G37">
        <v>1</v>
      </c>
    </row>
    <row r="38" spans="1:7" x14ac:dyDescent="0.25">
      <c r="A38">
        <v>5.5</v>
      </c>
      <c r="B38">
        <v>3.5</v>
      </c>
      <c r="C38">
        <v>1.3</v>
      </c>
      <c r="D38">
        <v>0.2</v>
      </c>
      <c r="E38" t="s">
        <v>17</v>
      </c>
      <c r="F38" t="str">
        <f>IF(Dati_grezzi!C38&lt;=$J$2,"Basso",IF(C38&lt;=$J$3,"Medio","Alto"))</f>
        <v>Basso</v>
      </c>
      <c r="G38">
        <v>1</v>
      </c>
    </row>
    <row r="39" spans="1:7" x14ac:dyDescent="0.25">
      <c r="A39">
        <v>4.9000000000000004</v>
      </c>
      <c r="B39">
        <v>3.6</v>
      </c>
      <c r="C39">
        <v>1.4</v>
      </c>
      <c r="D39">
        <v>0.1</v>
      </c>
      <c r="E39" t="s">
        <v>17</v>
      </c>
      <c r="F39" t="str">
        <f>IF(Dati_grezzi!C39&lt;=$J$2,"Basso",IF(C39&lt;=$J$3,"Medio","Alto"))</f>
        <v>Basso</v>
      </c>
      <c r="G39">
        <v>1</v>
      </c>
    </row>
    <row r="40" spans="1:7" x14ac:dyDescent="0.25">
      <c r="A40">
        <v>4.4000000000000004</v>
      </c>
      <c r="B40">
        <v>3</v>
      </c>
      <c r="C40">
        <v>1.3</v>
      </c>
      <c r="D40">
        <v>0.2</v>
      </c>
      <c r="E40" t="s">
        <v>17</v>
      </c>
      <c r="F40" t="str">
        <f>IF(Dati_grezzi!C40&lt;=$J$2,"Basso",IF(C40&lt;=$J$3,"Medio","Alto"))</f>
        <v>Basso</v>
      </c>
      <c r="G40">
        <v>1</v>
      </c>
    </row>
    <row r="41" spans="1:7" x14ac:dyDescent="0.25">
      <c r="A41">
        <v>5.0999999999999996</v>
      </c>
      <c r="B41">
        <v>3.4</v>
      </c>
      <c r="C41">
        <v>1.5</v>
      </c>
      <c r="D41">
        <v>0.2</v>
      </c>
      <c r="E41" t="s">
        <v>17</v>
      </c>
      <c r="F41" t="str">
        <f>IF(Dati_grezzi!C41&lt;=$J$2,"Basso",IF(C41&lt;=$J$3,"Medio","Alto"))</f>
        <v>Basso</v>
      </c>
      <c r="G41">
        <v>1</v>
      </c>
    </row>
    <row r="42" spans="1:7" x14ac:dyDescent="0.25">
      <c r="A42">
        <v>5</v>
      </c>
      <c r="B42">
        <v>3.5</v>
      </c>
      <c r="C42">
        <v>1.3</v>
      </c>
      <c r="D42">
        <v>0.3</v>
      </c>
      <c r="E42" t="s">
        <v>17</v>
      </c>
      <c r="F42" t="str">
        <f>IF(Dati_grezzi!C42&lt;=$J$2,"Basso",IF(C42&lt;=$J$3,"Medio","Alto"))</f>
        <v>Basso</v>
      </c>
      <c r="G42">
        <v>1</v>
      </c>
    </row>
    <row r="43" spans="1:7" x14ac:dyDescent="0.25">
      <c r="A43">
        <v>4.5</v>
      </c>
      <c r="B43">
        <v>2.2999999999999998</v>
      </c>
      <c r="C43">
        <v>1.3</v>
      </c>
      <c r="D43">
        <v>0.3</v>
      </c>
      <c r="E43" t="s">
        <v>17</v>
      </c>
      <c r="F43" t="str">
        <f>IF(Dati_grezzi!C43&lt;=$J$2,"Basso",IF(C43&lt;=$J$3,"Medio","Alto"))</f>
        <v>Basso</v>
      </c>
      <c r="G43">
        <v>1</v>
      </c>
    </row>
    <row r="44" spans="1:7" x14ac:dyDescent="0.25">
      <c r="A44">
        <v>4.4000000000000004</v>
      </c>
      <c r="B44">
        <v>3.2</v>
      </c>
      <c r="C44">
        <v>1.3</v>
      </c>
      <c r="D44">
        <v>0.2</v>
      </c>
      <c r="E44" t="s">
        <v>17</v>
      </c>
      <c r="F44" t="str">
        <f>IF(Dati_grezzi!C44&lt;=$J$2,"Basso",IF(C44&lt;=$J$3,"Medio","Alto"))</f>
        <v>Basso</v>
      </c>
      <c r="G44">
        <v>1</v>
      </c>
    </row>
    <row r="45" spans="1:7" x14ac:dyDescent="0.25">
      <c r="A45">
        <v>5</v>
      </c>
      <c r="B45">
        <v>3.5</v>
      </c>
      <c r="C45">
        <v>1.6</v>
      </c>
      <c r="D45">
        <v>0.6</v>
      </c>
      <c r="E45" t="s">
        <v>17</v>
      </c>
      <c r="F45" t="str">
        <f>IF(Dati_grezzi!C45&lt;=$J$2,"Basso",IF(C45&lt;=$J$3,"Medio","Alto"))</f>
        <v>Basso</v>
      </c>
      <c r="G45">
        <v>1</v>
      </c>
    </row>
    <row r="46" spans="1:7" x14ac:dyDescent="0.25">
      <c r="A46">
        <v>5.0999999999999996</v>
      </c>
      <c r="B46">
        <v>3.8</v>
      </c>
      <c r="C46">
        <v>1.9</v>
      </c>
      <c r="D46">
        <v>0.4</v>
      </c>
      <c r="E46" t="s">
        <v>17</v>
      </c>
      <c r="F46" t="str">
        <f>IF(Dati_grezzi!C46&lt;=$J$2,"Basso",IF(C46&lt;=$J$3,"Medio","Alto"))</f>
        <v>Basso</v>
      </c>
      <c r="G46">
        <v>1</v>
      </c>
    </row>
    <row r="47" spans="1:7" x14ac:dyDescent="0.25">
      <c r="A47">
        <v>4.8</v>
      </c>
      <c r="B47">
        <v>3</v>
      </c>
      <c r="C47">
        <v>1.4</v>
      </c>
      <c r="D47">
        <v>0.3</v>
      </c>
      <c r="E47" t="s">
        <v>17</v>
      </c>
      <c r="F47" t="str">
        <f>IF(Dati_grezzi!C47&lt;=$J$2,"Basso",IF(C47&lt;=$J$3,"Medio","Alto"))</f>
        <v>Basso</v>
      </c>
      <c r="G47">
        <v>1</v>
      </c>
    </row>
    <row r="48" spans="1:7" x14ac:dyDescent="0.25">
      <c r="A48">
        <v>5.0999999999999996</v>
      </c>
      <c r="B48">
        <v>3.8</v>
      </c>
      <c r="C48">
        <v>1.6</v>
      </c>
      <c r="D48">
        <v>0.2</v>
      </c>
      <c r="E48" t="s">
        <v>17</v>
      </c>
      <c r="F48" t="str">
        <f>IF(Dati_grezzi!C48&lt;=$J$2,"Basso",IF(C48&lt;=$J$3,"Medio","Alto"))</f>
        <v>Basso</v>
      </c>
      <c r="G48">
        <v>1</v>
      </c>
    </row>
    <row r="49" spans="1:7" x14ac:dyDescent="0.25">
      <c r="A49">
        <v>4.5999999999999996</v>
      </c>
      <c r="B49">
        <v>3.2</v>
      </c>
      <c r="C49">
        <v>1.4</v>
      </c>
      <c r="D49">
        <v>0.2</v>
      </c>
      <c r="E49" t="s">
        <v>17</v>
      </c>
      <c r="F49" t="str">
        <f>IF(Dati_grezzi!C49&lt;=$J$2,"Basso",IF(C49&lt;=$J$3,"Medio","Alto"))</f>
        <v>Basso</v>
      </c>
      <c r="G49">
        <v>1</v>
      </c>
    </row>
    <row r="50" spans="1:7" x14ac:dyDescent="0.25">
      <c r="A50">
        <v>5.3</v>
      </c>
      <c r="B50">
        <v>3.7</v>
      </c>
      <c r="C50">
        <v>1.5</v>
      </c>
      <c r="D50">
        <v>0.2</v>
      </c>
      <c r="E50" t="s">
        <v>17</v>
      </c>
      <c r="F50" t="str">
        <f>IF(Dati_grezzi!C50&lt;=$J$2,"Basso",IF(C50&lt;=$J$3,"Medio","Alto"))</f>
        <v>Basso</v>
      </c>
      <c r="G50">
        <v>1</v>
      </c>
    </row>
    <row r="51" spans="1:7" x14ac:dyDescent="0.25">
      <c r="A51">
        <v>5</v>
      </c>
      <c r="B51">
        <v>3.3</v>
      </c>
      <c r="C51">
        <v>1.4</v>
      </c>
      <c r="D51">
        <v>0.2</v>
      </c>
      <c r="E51" t="s">
        <v>17</v>
      </c>
      <c r="F51" t="str">
        <f>IF(Dati_grezzi!C51&lt;=$J$2,"Basso",IF(C51&lt;=$J$3,"Medio","Alto"))</f>
        <v>Basso</v>
      </c>
      <c r="G51">
        <v>1</v>
      </c>
    </row>
    <row r="52" spans="1:7" x14ac:dyDescent="0.25">
      <c r="A52">
        <v>7</v>
      </c>
      <c r="B52">
        <v>3.2</v>
      </c>
      <c r="C52">
        <v>4.7</v>
      </c>
      <c r="D52">
        <v>1.4</v>
      </c>
      <c r="E52" t="s">
        <v>18</v>
      </c>
      <c r="F52" t="str">
        <f>IF(Dati_grezzi!C52&lt;=$J$2,"Basso",IF(C52&lt;=$J$3,"Medio","Alto"))</f>
        <v>Medio</v>
      </c>
      <c r="G52">
        <v>1</v>
      </c>
    </row>
    <row r="53" spans="1:7" x14ac:dyDescent="0.25">
      <c r="A53">
        <v>6.4</v>
      </c>
      <c r="B53">
        <v>3.2</v>
      </c>
      <c r="C53">
        <v>4.5</v>
      </c>
      <c r="D53">
        <v>1.5</v>
      </c>
      <c r="E53" t="s">
        <v>18</v>
      </c>
      <c r="F53" t="str">
        <f>IF(Dati_grezzi!C53&lt;=$J$2,"Basso",IF(C53&lt;=$J$3,"Medio","Alto"))</f>
        <v>Medio</v>
      </c>
      <c r="G53">
        <v>1</v>
      </c>
    </row>
    <row r="54" spans="1:7" x14ac:dyDescent="0.25">
      <c r="A54">
        <v>6.9</v>
      </c>
      <c r="B54">
        <v>3.1</v>
      </c>
      <c r="C54">
        <v>4.9000000000000004</v>
      </c>
      <c r="D54">
        <v>1.5</v>
      </c>
      <c r="E54" t="s">
        <v>18</v>
      </c>
      <c r="F54" t="str">
        <f>IF(Dati_grezzi!C54&lt;=$J$2,"Basso",IF(C54&lt;=$J$3,"Medio","Alto"))</f>
        <v>Medio</v>
      </c>
      <c r="G54">
        <v>1</v>
      </c>
    </row>
    <row r="55" spans="1:7" x14ac:dyDescent="0.25">
      <c r="A55">
        <v>5.5</v>
      </c>
      <c r="B55">
        <v>2.2999999999999998</v>
      </c>
      <c r="C55">
        <v>4</v>
      </c>
      <c r="D55">
        <v>1.3</v>
      </c>
      <c r="E55" t="s">
        <v>18</v>
      </c>
      <c r="F55" t="str">
        <f>IF(Dati_grezzi!C55&lt;=$J$2,"Basso",IF(C55&lt;=$J$3,"Medio","Alto"))</f>
        <v>Medio</v>
      </c>
      <c r="G55">
        <v>1</v>
      </c>
    </row>
    <row r="56" spans="1:7" x14ac:dyDescent="0.25">
      <c r="A56">
        <v>6.5</v>
      </c>
      <c r="B56">
        <v>2.8</v>
      </c>
      <c r="C56">
        <v>4.5999999999999996</v>
      </c>
      <c r="D56">
        <v>1.5</v>
      </c>
      <c r="E56" t="s">
        <v>18</v>
      </c>
      <c r="F56" t="str">
        <f>IF(Dati_grezzi!C56&lt;=$J$2,"Basso",IF(C56&lt;=$J$3,"Medio","Alto"))</f>
        <v>Medio</v>
      </c>
      <c r="G56">
        <v>1</v>
      </c>
    </row>
    <row r="57" spans="1:7" x14ac:dyDescent="0.25">
      <c r="A57">
        <v>5.7</v>
      </c>
      <c r="B57">
        <v>2.8</v>
      </c>
      <c r="C57">
        <v>4.5</v>
      </c>
      <c r="D57">
        <v>1.3</v>
      </c>
      <c r="E57" t="s">
        <v>18</v>
      </c>
      <c r="F57" t="str">
        <f>IF(Dati_grezzi!C57&lt;=$J$2,"Basso",IF(C57&lt;=$J$3,"Medio","Alto"))</f>
        <v>Medio</v>
      </c>
      <c r="G57">
        <v>1</v>
      </c>
    </row>
    <row r="58" spans="1:7" x14ac:dyDescent="0.25">
      <c r="A58">
        <v>6.3</v>
      </c>
      <c r="B58">
        <v>3.3</v>
      </c>
      <c r="C58">
        <v>4.7</v>
      </c>
      <c r="D58">
        <v>1.6</v>
      </c>
      <c r="E58" t="s">
        <v>18</v>
      </c>
      <c r="F58" t="str">
        <f>IF(Dati_grezzi!C58&lt;=$J$2,"Basso",IF(C58&lt;=$J$3,"Medio","Alto"))</f>
        <v>Medio</v>
      </c>
      <c r="G58">
        <v>1</v>
      </c>
    </row>
    <row r="59" spans="1:7" x14ac:dyDescent="0.25">
      <c r="A59">
        <v>4.9000000000000004</v>
      </c>
      <c r="B59">
        <v>2.4</v>
      </c>
      <c r="C59">
        <v>3.3</v>
      </c>
      <c r="D59">
        <v>1</v>
      </c>
      <c r="E59" t="s">
        <v>18</v>
      </c>
      <c r="F59" t="str">
        <f>IF(Dati_grezzi!C59&lt;=$J$2,"Basso",IF(C59&lt;=$J$3,"Medio","Alto"))</f>
        <v>Medio</v>
      </c>
      <c r="G59">
        <v>1</v>
      </c>
    </row>
    <row r="60" spans="1:7" x14ac:dyDescent="0.25">
      <c r="A60">
        <v>6.6</v>
      </c>
      <c r="B60">
        <v>2.9</v>
      </c>
      <c r="C60">
        <v>4.5999999999999996</v>
      </c>
      <c r="D60">
        <v>1.3</v>
      </c>
      <c r="E60" t="s">
        <v>18</v>
      </c>
      <c r="F60" t="str">
        <f>IF(Dati_grezzi!C60&lt;=$J$2,"Basso",IF(C60&lt;=$J$3,"Medio","Alto"))</f>
        <v>Medio</v>
      </c>
      <c r="G60">
        <v>1</v>
      </c>
    </row>
    <row r="61" spans="1:7" x14ac:dyDescent="0.25">
      <c r="A61">
        <v>5.2</v>
      </c>
      <c r="B61">
        <v>2.7</v>
      </c>
      <c r="C61">
        <v>3.9</v>
      </c>
      <c r="D61">
        <v>1.4</v>
      </c>
      <c r="E61" t="s">
        <v>18</v>
      </c>
      <c r="F61" t="str">
        <f>IF(Dati_grezzi!C61&lt;=$J$2,"Basso",IF(C61&lt;=$J$3,"Medio","Alto"))</f>
        <v>Medio</v>
      </c>
      <c r="G61">
        <v>1</v>
      </c>
    </row>
    <row r="62" spans="1:7" x14ac:dyDescent="0.25">
      <c r="A62">
        <v>5</v>
      </c>
      <c r="B62">
        <v>2</v>
      </c>
      <c r="C62">
        <v>3.5</v>
      </c>
      <c r="D62">
        <v>1</v>
      </c>
      <c r="E62" t="s">
        <v>18</v>
      </c>
      <c r="F62" t="str">
        <f>IF(Dati_grezzi!C62&lt;=$J$2,"Basso",IF(C62&lt;=$J$3,"Medio","Alto"))</f>
        <v>Medio</v>
      </c>
      <c r="G62">
        <v>1</v>
      </c>
    </row>
    <row r="63" spans="1:7" x14ac:dyDescent="0.25">
      <c r="A63">
        <v>5.9</v>
      </c>
      <c r="B63">
        <v>3</v>
      </c>
      <c r="C63">
        <v>4.2</v>
      </c>
      <c r="D63">
        <v>1.5</v>
      </c>
      <c r="E63" t="s">
        <v>18</v>
      </c>
      <c r="F63" t="str">
        <f>IF(Dati_grezzi!C63&lt;=$J$2,"Basso",IF(C63&lt;=$J$3,"Medio","Alto"))</f>
        <v>Medio</v>
      </c>
      <c r="G63">
        <v>1</v>
      </c>
    </row>
    <row r="64" spans="1:7" x14ac:dyDescent="0.25">
      <c r="A64">
        <v>6</v>
      </c>
      <c r="B64">
        <v>2.2000000000000002</v>
      </c>
      <c r="C64">
        <v>4</v>
      </c>
      <c r="D64">
        <v>1</v>
      </c>
      <c r="E64" t="s">
        <v>18</v>
      </c>
      <c r="F64" t="str">
        <f>IF(Dati_grezzi!C64&lt;=$J$2,"Basso",IF(C64&lt;=$J$3,"Medio","Alto"))</f>
        <v>Medio</v>
      </c>
      <c r="G64">
        <v>1</v>
      </c>
    </row>
    <row r="65" spans="1:7" x14ac:dyDescent="0.25">
      <c r="A65">
        <v>6.1</v>
      </c>
      <c r="B65">
        <v>2.9</v>
      </c>
      <c r="C65">
        <v>4.7</v>
      </c>
      <c r="D65">
        <v>1.4</v>
      </c>
      <c r="E65" t="s">
        <v>18</v>
      </c>
      <c r="F65" t="str">
        <f>IF(Dati_grezzi!C65&lt;=$J$2,"Basso",IF(C65&lt;=$J$3,"Medio","Alto"))</f>
        <v>Medio</v>
      </c>
      <c r="G65">
        <v>1</v>
      </c>
    </row>
    <row r="66" spans="1:7" x14ac:dyDescent="0.25">
      <c r="A66">
        <v>5.6</v>
      </c>
      <c r="B66">
        <v>2.9</v>
      </c>
      <c r="C66">
        <v>3.6</v>
      </c>
      <c r="D66">
        <v>1.3</v>
      </c>
      <c r="E66" t="s">
        <v>18</v>
      </c>
      <c r="F66" t="str">
        <f>IF(Dati_grezzi!C66&lt;=$J$2,"Basso",IF(C66&lt;=$J$3,"Medio","Alto"))</f>
        <v>Medio</v>
      </c>
      <c r="G66">
        <v>1</v>
      </c>
    </row>
    <row r="67" spans="1:7" x14ac:dyDescent="0.25">
      <c r="A67">
        <v>6.7</v>
      </c>
      <c r="B67">
        <v>3.1</v>
      </c>
      <c r="C67">
        <v>4.4000000000000004</v>
      </c>
      <c r="D67">
        <v>1.4</v>
      </c>
      <c r="E67" t="s">
        <v>18</v>
      </c>
      <c r="F67" t="str">
        <f>IF(Dati_grezzi!C67&lt;=$J$2,"Basso",IF(C67&lt;=$J$3,"Medio","Alto"))</f>
        <v>Medio</v>
      </c>
      <c r="G67">
        <v>1</v>
      </c>
    </row>
    <row r="68" spans="1:7" x14ac:dyDescent="0.25">
      <c r="A68">
        <v>5.6</v>
      </c>
      <c r="B68">
        <v>3</v>
      </c>
      <c r="C68">
        <v>4.5</v>
      </c>
      <c r="D68">
        <v>1.5</v>
      </c>
      <c r="E68" t="s">
        <v>18</v>
      </c>
      <c r="F68" t="str">
        <f>IF(Dati_grezzi!C68&lt;=$J$2,"Basso",IF(C68&lt;=$J$3,"Medio","Alto"))</f>
        <v>Medio</v>
      </c>
      <c r="G68">
        <v>1</v>
      </c>
    </row>
    <row r="69" spans="1:7" x14ac:dyDescent="0.25">
      <c r="A69">
        <v>5.8</v>
      </c>
      <c r="B69">
        <v>2.7</v>
      </c>
      <c r="C69">
        <v>4.0999999999999996</v>
      </c>
      <c r="D69">
        <v>1</v>
      </c>
      <c r="E69" t="s">
        <v>18</v>
      </c>
      <c r="F69" t="str">
        <f>IF(Dati_grezzi!C69&lt;=$J$2,"Basso",IF(C69&lt;=$J$3,"Medio","Alto"))</f>
        <v>Medio</v>
      </c>
      <c r="G69">
        <v>1</v>
      </c>
    </row>
    <row r="70" spans="1:7" x14ac:dyDescent="0.25">
      <c r="A70">
        <v>6.2</v>
      </c>
      <c r="B70">
        <v>2.2000000000000002</v>
      </c>
      <c r="C70">
        <v>4.5</v>
      </c>
      <c r="D70">
        <v>1.5</v>
      </c>
      <c r="E70" t="s">
        <v>18</v>
      </c>
      <c r="F70" t="str">
        <f>IF(Dati_grezzi!C70&lt;=$J$2,"Basso",IF(C70&lt;=$J$3,"Medio","Alto"))</f>
        <v>Medio</v>
      </c>
      <c r="G70">
        <v>1</v>
      </c>
    </row>
    <row r="71" spans="1:7" x14ac:dyDescent="0.25">
      <c r="A71">
        <v>5.6</v>
      </c>
      <c r="B71">
        <v>2.5</v>
      </c>
      <c r="C71">
        <v>3.9</v>
      </c>
      <c r="D71">
        <v>1.1000000000000001</v>
      </c>
      <c r="E71" t="s">
        <v>18</v>
      </c>
      <c r="F71" t="str">
        <f>IF(Dati_grezzi!C71&lt;=$J$2,"Basso",IF(C71&lt;=$J$3,"Medio","Alto"))</f>
        <v>Medio</v>
      </c>
      <c r="G71">
        <v>1</v>
      </c>
    </row>
    <row r="72" spans="1:7" x14ac:dyDescent="0.25">
      <c r="A72">
        <v>5.9</v>
      </c>
      <c r="B72">
        <v>3.2</v>
      </c>
      <c r="C72">
        <v>4.8</v>
      </c>
      <c r="D72">
        <v>1.8</v>
      </c>
      <c r="E72" t="s">
        <v>18</v>
      </c>
      <c r="F72" t="str">
        <f>IF(Dati_grezzi!C72&lt;=$J$2,"Basso",IF(C72&lt;=$J$3,"Medio","Alto"))</f>
        <v>Medio</v>
      </c>
      <c r="G72">
        <v>1</v>
      </c>
    </row>
    <row r="73" spans="1:7" x14ac:dyDescent="0.25">
      <c r="A73">
        <v>6.1</v>
      </c>
      <c r="B73">
        <v>2.8</v>
      </c>
      <c r="C73">
        <v>4</v>
      </c>
      <c r="D73">
        <v>1.3</v>
      </c>
      <c r="E73" t="s">
        <v>18</v>
      </c>
      <c r="F73" t="str">
        <f>IF(Dati_grezzi!C73&lt;=$J$2,"Basso",IF(C73&lt;=$J$3,"Medio","Alto"))</f>
        <v>Medio</v>
      </c>
      <c r="G73">
        <v>1</v>
      </c>
    </row>
    <row r="74" spans="1:7" x14ac:dyDescent="0.25">
      <c r="A74">
        <v>6.3</v>
      </c>
      <c r="B74">
        <v>2.5</v>
      </c>
      <c r="C74">
        <v>4.9000000000000004</v>
      </c>
      <c r="D74">
        <v>1.5</v>
      </c>
      <c r="E74" t="s">
        <v>18</v>
      </c>
      <c r="F74" t="str">
        <f>IF(Dati_grezzi!C74&lt;=$J$2,"Basso",IF(C74&lt;=$J$3,"Medio","Alto"))</f>
        <v>Medio</v>
      </c>
      <c r="G74">
        <v>1</v>
      </c>
    </row>
    <row r="75" spans="1:7" x14ac:dyDescent="0.25">
      <c r="A75">
        <v>6.1</v>
      </c>
      <c r="B75">
        <v>2.8</v>
      </c>
      <c r="C75">
        <v>4.7</v>
      </c>
      <c r="D75">
        <v>1.2</v>
      </c>
      <c r="E75" t="s">
        <v>18</v>
      </c>
      <c r="F75" t="str">
        <f>IF(Dati_grezzi!C75&lt;=$J$2,"Basso",IF(C75&lt;=$J$3,"Medio","Alto"))</f>
        <v>Medio</v>
      </c>
      <c r="G75">
        <v>1</v>
      </c>
    </row>
    <row r="76" spans="1:7" x14ac:dyDescent="0.25">
      <c r="A76">
        <v>6.4</v>
      </c>
      <c r="B76">
        <v>2.9</v>
      </c>
      <c r="C76">
        <v>4.3</v>
      </c>
      <c r="D76">
        <v>1.3</v>
      </c>
      <c r="E76" t="s">
        <v>18</v>
      </c>
      <c r="F76" t="str">
        <f>IF(Dati_grezzi!C76&lt;=$J$2,"Basso",IF(C76&lt;=$J$3,"Medio","Alto"))</f>
        <v>Medio</v>
      </c>
      <c r="G76">
        <v>1</v>
      </c>
    </row>
    <row r="77" spans="1:7" x14ac:dyDescent="0.25">
      <c r="A77">
        <v>6.6</v>
      </c>
      <c r="B77">
        <v>3</v>
      </c>
      <c r="C77">
        <v>4.4000000000000004</v>
      </c>
      <c r="D77">
        <v>1.4</v>
      </c>
      <c r="E77" t="s">
        <v>18</v>
      </c>
      <c r="F77" t="str">
        <f>IF(Dati_grezzi!C77&lt;=$J$2,"Basso",IF(C77&lt;=$J$3,"Medio","Alto"))</f>
        <v>Medio</v>
      </c>
      <c r="G77">
        <v>1</v>
      </c>
    </row>
    <row r="78" spans="1:7" x14ac:dyDescent="0.25">
      <c r="A78">
        <v>6.8</v>
      </c>
      <c r="B78">
        <v>2.8</v>
      </c>
      <c r="C78">
        <v>4.8</v>
      </c>
      <c r="D78">
        <v>1.4</v>
      </c>
      <c r="E78" t="s">
        <v>18</v>
      </c>
      <c r="F78" t="str">
        <f>IF(Dati_grezzi!C78&lt;=$J$2,"Basso",IF(C78&lt;=$J$3,"Medio","Alto"))</f>
        <v>Medio</v>
      </c>
      <c r="G78">
        <v>1</v>
      </c>
    </row>
    <row r="79" spans="1:7" x14ac:dyDescent="0.25">
      <c r="A79">
        <v>6.7</v>
      </c>
      <c r="B79">
        <v>3</v>
      </c>
      <c r="C79">
        <v>5</v>
      </c>
      <c r="D79">
        <v>1.7</v>
      </c>
      <c r="E79" t="s">
        <v>18</v>
      </c>
      <c r="F79" t="str">
        <f>IF(Dati_grezzi!C79&lt;=$J$2,"Basso",IF(C79&lt;=$J$3,"Medio","Alto"))</f>
        <v>Alto</v>
      </c>
      <c r="G79">
        <v>1</v>
      </c>
    </row>
    <row r="80" spans="1:7" x14ac:dyDescent="0.25">
      <c r="A80">
        <v>6</v>
      </c>
      <c r="B80">
        <v>2.9</v>
      </c>
      <c r="C80">
        <v>4.5</v>
      </c>
      <c r="D80">
        <v>1.5</v>
      </c>
      <c r="E80" t="s">
        <v>18</v>
      </c>
      <c r="F80" t="str">
        <f>IF(Dati_grezzi!C80&lt;=$J$2,"Basso",IF(C80&lt;=$J$3,"Medio","Alto"))</f>
        <v>Medio</v>
      </c>
      <c r="G80">
        <v>1</v>
      </c>
    </row>
    <row r="81" spans="1:7" x14ac:dyDescent="0.25">
      <c r="A81">
        <v>5.7</v>
      </c>
      <c r="B81">
        <v>2.6</v>
      </c>
      <c r="C81">
        <v>3.5</v>
      </c>
      <c r="D81">
        <v>1</v>
      </c>
      <c r="E81" t="s">
        <v>18</v>
      </c>
      <c r="F81" t="str">
        <f>IF(Dati_grezzi!C81&lt;=$J$2,"Basso",IF(C81&lt;=$J$3,"Medio","Alto"))</f>
        <v>Medio</v>
      </c>
      <c r="G81">
        <v>1</v>
      </c>
    </row>
    <row r="82" spans="1:7" x14ac:dyDescent="0.25">
      <c r="A82">
        <v>5.5</v>
      </c>
      <c r="B82">
        <v>2.4</v>
      </c>
      <c r="C82">
        <v>3.8</v>
      </c>
      <c r="D82">
        <v>1.1000000000000001</v>
      </c>
      <c r="E82" t="s">
        <v>18</v>
      </c>
      <c r="F82" t="str">
        <f>IF(Dati_grezzi!C82&lt;=$J$2,"Basso",IF(C82&lt;=$J$3,"Medio","Alto"))</f>
        <v>Medio</v>
      </c>
      <c r="G82">
        <v>1</v>
      </c>
    </row>
    <row r="83" spans="1:7" x14ac:dyDescent="0.25">
      <c r="A83">
        <v>5.5</v>
      </c>
      <c r="B83">
        <v>2.4</v>
      </c>
      <c r="C83">
        <v>3.7</v>
      </c>
      <c r="D83">
        <v>1</v>
      </c>
      <c r="E83" t="s">
        <v>18</v>
      </c>
      <c r="F83" t="str">
        <f>IF(Dati_grezzi!C83&lt;=$J$2,"Basso",IF(C83&lt;=$J$3,"Medio","Alto"))</f>
        <v>Medio</v>
      </c>
      <c r="G83">
        <v>1</v>
      </c>
    </row>
    <row r="84" spans="1:7" x14ac:dyDescent="0.25">
      <c r="A84">
        <v>5.8</v>
      </c>
      <c r="B84">
        <v>2.7</v>
      </c>
      <c r="C84">
        <v>3.9</v>
      </c>
      <c r="D84">
        <v>1.2</v>
      </c>
      <c r="E84" t="s">
        <v>18</v>
      </c>
      <c r="F84" t="str">
        <f>IF(Dati_grezzi!C84&lt;=$J$2,"Basso",IF(C84&lt;=$J$3,"Medio","Alto"))</f>
        <v>Medio</v>
      </c>
      <c r="G84">
        <v>1</v>
      </c>
    </row>
    <row r="85" spans="1:7" x14ac:dyDescent="0.25">
      <c r="A85">
        <v>6</v>
      </c>
      <c r="B85">
        <v>2.7</v>
      </c>
      <c r="C85">
        <v>5.0999999999999996</v>
      </c>
      <c r="D85">
        <v>1.6</v>
      </c>
      <c r="E85" t="s">
        <v>18</v>
      </c>
      <c r="F85" t="str">
        <f>IF(Dati_grezzi!C85&lt;=$J$2,"Basso",IF(C85&lt;=$J$3,"Medio","Alto"))</f>
        <v>Alto</v>
      </c>
      <c r="G85">
        <v>1</v>
      </c>
    </row>
    <row r="86" spans="1:7" x14ac:dyDescent="0.25">
      <c r="A86">
        <v>5.4</v>
      </c>
      <c r="B86">
        <v>3</v>
      </c>
      <c r="C86">
        <v>4.5</v>
      </c>
      <c r="D86">
        <v>1.5</v>
      </c>
      <c r="E86" t="s">
        <v>18</v>
      </c>
      <c r="F86" t="str">
        <f>IF(Dati_grezzi!C86&lt;=$J$2,"Basso",IF(C86&lt;=$J$3,"Medio","Alto"))</f>
        <v>Medio</v>
      </c>
      <c r="G86">
        <v>1</v>
      </c>
    </row>
    <row r="87" spans="1:7" x14ac:dyDescent="0.25">
      <c r="A87">
        <v>6</v>
      </c>
      <c r="B87">
        <v>3.4</v>
      </c>
      <c r="C87">
        <v>4.5</v>
      </c>
      <c r="D87">
        <v>1.6</v>
      </c>
      <c r="E87" t="s">
        <v>18</v>
      </c>
      <c r="F87" t="str">
        <f>IF(Dati_grezzi!C87&lt;=$J$2,"Basso",IF(C87&lt;=$J$3,"Medio","Alto"))</f>
        <v>Medio</v>
      </c>
      <c r="G87">
        <v>1</v>
      </c>
    </row>
    <row r="88" spans="1:7" x14ac:dyDescent="0.25">
      <c r="A88">
        <v>6.7</v>
      </c>
      <c r="B88">
        <v>3.1</v>
      </c>
      <c r="C88">
        <v>4.7</v>
      </c>
      <c r="D88">
        <v>1.5</v>
      </c>
      <c r="E88" t="s">
        <v>18</v>
      </c>
      <c r="F88" t="str">
        <f>IF(Dati_grezzi!C88&lt;=$J$2,"Basso",IF(C88&lt;=$J$3,"Medio","Alto"))</f>
        <v>Medio</v>
      </c>
      <c r="G88">
        <v>1</v>
      </c>
    </row>
    <row r="89" spans="1:7" x14ac:dyDescent="0.25">
      <c r="A89">
        <v>6.3</v>
      </c>
      <c r="B89">
        <v>2.2999999999999998</v>
      </c>
      <c r="C89">
        <v>4.4000000000000004</v>
      </c>
      <c r="D89">
        <v>1.3</v>
      </c>
      <c r="E89" t="s">
        <v>18</v>
      </c>
      <c r="F89" t="str">
        <f>IF(Dati_grezzi!C89&lt;=$J$2,"Basso",IF(C89&lt;=$J$3,"Medio","Alto"))</f>
        <v>Medio</v>
      </c>
      <c r="G89">
        <v>1</v>
      </c>
    </row>
    <row r="90" spans="1:7" x14ac:dyDescent="0.25">
      <c r="A90">
        <v>5.6</v>
      </c>
      <c r="B90">
        <v>3</v>
      </c>
      <c r="C90">
        <v>4.0999999999999996</v>
      </c>
      <c r="D90">
        <v>1.3</v>
      </c>
      <c r="E90" t="s">
        <v>18</v>
      </c>
      <c r="F90" t="str">
        <f>IF(Dati_grezzi!C90&lt;=$J$2,"Basso",IF(C90&lt;=$J$3,"Medio","Alto"))</f>
        <v>Medio</v>
      </c>
      <c r="G90">
        <v>1</v>
      </c>
    </row>
    <row r="91" spans="1:7" x14ac:dyDescent="0.25">
      <c r="A91">
        <v>5.5</v>
      </c>
      <c r="B91">
        <v>2.5</v>
      </c>
      <c r="C91">
        <v>4</v>
      </c>
      <c r="D91">
        <v>1.3</v>
      </c>
      <c r="E91" t="s">
        <v>18</v>
      </c>
      <c r="F91" t="str">
        <f>IF(Dati_grezzi!C91&lt;=$J$2,"Basso",IF(C91&lt;=$J$3,"Medio","Alto"))</f>
        <v>Medio</v>
      </c>
      <c r="G91">
        <v>1</v>
      </c>
    </row>
    <row r="92" spans="1:7" x14ac:dyDescent="0.25">
      <c r="A92">
        <v>5.5</v>
      </c>
      <c r="B92">
        <v>2.6</v>
      </c>
      <c r="C92">
        <v>4.4000000000000004</v>
      </c>
      <c r="D92">
        <v>1.2</v>
      </c>
      <c r="E92" t="s">
        <v>18</v>
      </c>
      <c r="F92" t="str">
        <f>IF(Dati_grezzi!C92&lt;=$J$2,"Basso",IF(C92&lt;=$J$3,"Medio","Alto"))</f>
        <v>Medio</v>
      </c>
      <c r="G92">
        <v>1</v>
      </c>
    </row>
    <row r="93" spans="1:7" x14ac:dyDescent="0.25">
      <c r="A93">
        <v>6.1</v>
      </c>
      <c r="B93">
        <v>3</v>
      </c>
      <c r="C93">
        <v>4.5999999999999996</v>
      </c>
      <c r="D93">
        <v>1.4</v>
      </c>
      <c r="E93" t="s">
        <v>18</v>
      </c>
      <c r="F93" t="str">
        <f>IF(Dati_grezzi!C93&lt;=$J$2,"Basso",IF(C93&lt;=$J$3,"Medio","Alto"))</f>
        <v>Medio</v>
      </c>
      <c r="G93">
        <v>1</v>
      </c>
    </row>
    <row r="94" spans="1:7" x14ac:dyDescent="0.25">
      <c r="A94">
        <v>5.8</v>
      </c>
      <c r="B94">
        <v>2.6</v>
      </c>
      <c r="C94">
        <v>4</v>
      </c>
      <c r="D94">
        <v>1.2</v>
      </c>
      <c r="E94" t="s">
        <v>18</v>
      </c>
      <c r="F94" t="str">
        <f>IF(Dati_grezzi!C94&lt;=$J$2,"Basso",IF(C94&lt;=$J$3,"Medio","Alto"))</f>
        <v>Medio</v>
      </c>
      <c r="G94">
        <v>1</v>
      </c>
    </row>
    <row r="95" spans="1:7" x14ac:dyDescent="0.25">
      <c r="A95">
        <v>5</v>
      </c>
      <c r="B95">
        <v>2.2999999999999998</v>
      </c>
      <c r="C95">
        <v>3.3</v>
      </c>
      <c r="D95">
        <v>1</v>
      </c>
      <c r="E95" t="s">
        <v>18</v>
      </c>
      <c r="F95" t="str">
        <f>IF(Dati_grezzi!C95&lt;=$J$2,"Basso",IF(C95&lt;=$J$3,"Medio","Alto"))</f>
        <v>Medio</v>
      </c>
      <c r="G95">
        <v>1</v>
      </c>
    </row>
    <row r="96" spans="1:7" x14ac:dyDescent="0.25">
      <c r="A96">
        <v>5.6</v>
      </c>
      <c r="B96">
        <v>2.7</v>
      </c>
      <c r="C96">
        <v>4.2</v>
      </c>
      <c r="D96">
        <v>1.3</v>
      </c>
      <c r="E96" t="s">
        <v>18</v>
      </c>
      <c r="F96" t="str">
        <f>IF(Dati_grezzi!C96&lt;=$J$2,"Basso",IF(C96&lt;=$J$3,"Medio","Alto"))</f>
        <v>Medio</v>
      </c>
      <c r="G96">
        <v>1</v>
      </c>
    </row>
    <row r="97" spans="1:7" x14ac:dyDescent="0.25">
      <c r="A97">
        <v>5.7</v>
      </c>
      <c r="B97">
        <v>3</v>
      </c>
      <c r="C97">
        <v>4.2</v>
      </c>
      <c r="D97">
        <v>1.2</v>
      </c>
      <c r="E97" t="s">
        <v>18</v>
      </c>
      <c r="F97" t="str">
        <f>IF(Dati_grezzi!C97&lt;=$J$2,"Basso",IF(C97&lt;=$J$3,"Medio","Alto"))</f>
        <v>Medio</v>
      </c>
      <c r="G97">
        <v>1</v>
      </c>
    </row>
    <row r="98" spans="1:7" x14ac:dyDescent="0.25">
      <c r="A98">
        <v>5.7</v>
      </c>
      <c r="B98">
        <v>2.9</v>
      </c>
      <c r="C98">
        <v>4.2</v>
      </c>
      <c r="D98">
        <v>1.3</v>
      </c>
      <c r="E98" t="s">
        <v>18</v>
      </c>
      <c r="F98" t="str">
        <f>IF(Dati_grezzi!C98&lt;=$J$2,"Basso",IF(C98&lt;=$J$3,"Medio","Alto"))</f>
        <v>Medio</v>
      </c>
      <c r="G98">
        <v>1</v>
      </c>
    </row>
    <row r="99" spans="1:7" x14ac:dyDescent="0.25">
      <c r="A99">
        <v>6.2</v>
      </c>
      <c r="B99">
        <v>2.9</v>
      </c>
      <c r="C99">
        <v>4.3</v>
      </c>
      <c r="D99">
        <v>1.3</v>
      </c>
      <c r="E99" t="s">
        <v>18</v>
      </c>
      <c r="F99" t="str">
        <f>IF(Dati_grezzi!C99&lt;=$J$2,"Basso",IF(C99&lt;=$J$3,"Medio","Alto"))</f>
        <v>Medio</v>
      </c>
      <c r="G99">
        <v>1</v>
      </c>
    </row>
    <row r="100" spans="1:7" x14ac:dyDescent="0.25">
      <c r="A100">
        <v>5.0999999999999996</v>
      </c>
      <c r="B100">
        <v>2.5</v>
      </c>
      <c r="C100">
        <v>3</v>
      </c>
      <c r="D100">
        <v>1.1000000000000001</v>
      </c>
      <c r="E100" t="s">
        <v>18</v>
      </c>
      <c r="F100" t="str">
        <f>IF(Dati_grezzi!C100&lt;=$J$2,"Basso",IF(C100&lt;=$J$3,"Medio","Alto"))</f>
        <v>Medio</v>
      </c>
      <c r="G100">
        <v>1</v>
      </c>
    </row>
    <row r="101" spans="1:7" x14ac:dyDescent="0.25">
      <c r="A101">
        <v>5.7</v>
      </c>
      <c r="B101">
        <v>2.8</v>
      </c>
      <c r="C101">
        <v>4.0999999999999996</v>
      </c>
      <c r="D101">
        <v>1.3</v>
      </c>
      <c r="E101" t="s">
        <v>18</v>
      </c>
      <c r="F101" t="str">
        <f>IF(Dati_grezzi!C101&lt;=$J$2,"Basso",IF(C101&lt;=$J$3,"Medio","Alto"))</f>
        <v>Medio</v>
      </c>
      <c r="G101">
        <v>1</v>
      </c>
    </row>
    <row r="102" spans="1:7" x14ac:dyDescent="0.25">
      <c r="A102">
        <v>6.3</v>
      </c>
      <c r="B102">
        <v>3.3</v>
      </c>
      <c r="C102">
        <v>6</v>
      </c>
      <c r="D102">
        <v>2.5</v>
      </c>
      <c r="E102" t="s">
        <v>19</v>
      </c>
      <c r="F102" t="str">
        <f>IF(Dati_grezzi!C102&lt;=$J$2,"Basso",IF(C102&lt;=$J$3,"Medio","Alto"))</f>
        <v>Alto</v>
      </c>
      <c r="G102">
        <v>1</v>
      </c>
    </row>
    <row r="103" spans="1:7" x14ac:dyDescent="0.25">
      <c r="A103">
        <v>5.8</v>
      </c>
      <c r="B103">
        <v>2.7</v>
      </c>
      <c r="C103">
        <v>5.0999999999999996</v>
      </c>
      <c r="D103">
        <v>1.9</v>
      </c>
      <c r="E103" t="s">
        <v>19</v>
      </c>
      <c r="F103" t="str">
        <f>IF(Dati_grezzi!C103&lt;=$J$2,"Basso",IF(C103&lt;=$J$3,"Medio","Alto"))</f>
        <v>Alto</v>
      </c>
      <c r="G103">
        <v>1</v>
      </c>
    </row>
    <row r="104" spans="1:7" x14ac:dyDescent="0.25">
      <c r="A104">
        <v>7.1</v>
      </c>
      <c r="B104">
        <v>3</v>
      </c>
      <c r="C104">
        <v>5.9</v>
      </c>
      <c r="D104">
        <v>2.1</v>
      </c>
      <c r="E104" t="s">
        <v>19</v>
      </c>
      <c r="F104" t="str">
        <f>IF(Dati_grezzi!C104&lt;=$J$2,"Basso",IF(C104&lt;=$J$3,"Medio","Alto"))</f>
        <v>Alto</v>
      </c>
      <c r="G104">
        <v>1</v>
      </c>
    </row>
    <row r="105" spans="1:7" x14ac:dyDescent="0.25">
      <c r="A105">
        <v>6.3</v>
      </c>
      <c r="B105">
        <v>2.9</v>
      </c>
      <c r="C105">
        <v>5.6</v>
      </c>
      <c r="D105">
        <v>1.8</v>
      </c>
      <c r="E105" t="s">
        <v>19</v>
      </c>
      <c r="F105" t="str">
        <f>IF(Dati_grezzi!C105&lt;=$J$2,"Basso",IF(C105&lt;=$J$3,"Medio","Alto"))</f>
        <v>Alto</v>
      </c>
      <c r="G105">
        <v>1</v>
      </c>
    </row>
    <row r="106" spans="1:7" x14ac:dyDescent="0.25">
      <c r="A106">
        <v>6.5</v>
      </c>
      <c r="B106">
        <v>3</v>
      </c>
      <c r="C106">
        <v>5.8</v>
      </c>
      <c r="D106">
        <v>2.2000000000000002</v>
      </c>
      <c r="E106" t="s">
        <v>19</v>
      </c>
      <c r="F106" t="str">
        <f>IF(Dati_grezzi!C106&lt;=$J$2,"Basso",IF(C106&lt;=$J$3,"Medio","Alto"))</f>
        <v>Alto</v>
      </c>
      <c r="G106">
        <v>1</v>
      </c>
    </row>
    <row r="107" spans="1:7" x14ac:dyDescent="0.25">
      <c r="A107">
        <v>7.6</v>
      </c>
      <c r="B107">
        <v>3</v>
      </c>
      <c r="C107">
        <v>6.6</v>
      </c>
      <c r="D107">
        <v>2.1</v>
      </c>
      <c r="E107" t="s">
        <v>19</v>
      </c>
      <c r="F107" t="str">
        <f>IF(Dati_grezzi!C107&lt;=$J$2,"Basso",IF(C107&lt;=$J$3,"Medio","Alto"))</f>
        <v>Alto</v>
      </c>
      <c r="G107">
        <v>1</v>
      </c>
    </row>
    <row r="108" spans="1:7" x14ac:dyDescent="0.25">
      <c r="A108">
        <v>4.9000000000000004</v>
      </c>
      <c r="B108">
        <v>2.5</v>
      </c>
      <c r="C108">
        <v>4.5</v>
      </c>
      <c r="D108">
        <v>1.7</v>
      </c>
      <c r="E108" t="s">
        <v>19</v>
      </c>
      <c r="F108" t="str">
        <f>IF(Dati_grezzi!C108&lt;=$J$2,"Basso",IF(C108&lt;=$J$3,"Medio","Alto"))</f>
        <v>Medio</v>
      </c>
      <c r="G108">
        <v>1</v>
      </c>
    </row>
    <row r="109" spans="1:7" x14ac:dyDescent="0.25">
      <c r="A109">
        <v>7.3</v>
      </c>
      <c r="B109">
        <v>2.9</v>
      </c>
      <c r="C109">
        <v>6.3</v>
      </c>
      <c r="D109">
        <v>1.8</v>
      </c>
      <c r="E109" t="s">
        <v>19</v>
      </c>
      <c r="F109" t="str">
        <f>IF(Dati_grezzi!C109&lt;=$J$2,"Basso",IF(C109&lt;=$J$3,"Medio","Alto"))</f>
        <v>Alto</v>
      </c>
      <c r="G109">
        <v>1</v>
      </c>
    </row>
    <row r="110" spans="1:7" x14ac:dyDescent="0.25">
      <c r="A110">
        <v>6.7</v>
      </c>
      <c r="B110">
        <v>2.5</v>
      </c>
      <c r="C110">
        <v>5.8</v>
      </c>
      <c r="D110">
        <v>1.8</v>
      </c>
      <c r="E110" t="s">
        <v>19</v>
      </c>
      <c r="F110" t="str">
        <f>IF(Dati_grezzi!C110&lt;=$J$2,"Basso",IF(C110&lt;=$J$3,"Medio","Alto"))</f>
        <v>Alto</v>
      </c>
      <c r="G110">
        <v>1</v>
      </c>
    </row>
    <row r="111" spans="1:7" x14ac:dyDescent="0.25">
      <c r="A111">
        <v>7.2</v>
      </c>
      <c r="B111">
        <v>3.6</v>
      </c>
      <c r="C111">
        <v>6.1</v>
      </c>
      <c r="D111">
        <v>2.5</v>
      </c>
      <c r="E111" t="s">
        <v>19</v>
      </c>
      <c r="F111" t="str">
        <f>IF(Dati_grezzi!C111&lt;=$J$2,"Basso",IF(C111&lt;=$J$3,"Medio","Alto"))</f>
        <v>Alto</v>
      </c>
      <c r="G111">
        <v>1</v>
      </c>
    </row>
    <row r="112" spans="1:7" x14ac:dyDescent="0.25">
      <c r="A112">
        <v>6.5</v>
      </c>
      <c r="B112">
        <v>3.2</v>
      </c>
      <c r="C112">
        <v>5.0999999999999996</v>
      </c>
      <c r="D112">
        <v>2</v>
      </c>
      <c r="E112" t="s">
        <v>19</v>
      </c>
      <c r="F112" t="str">
        <f>IF(Dati_grezzi!C112&lt;=$J$2,"Basso",IF(C112&lt;=$J$3,"Medio","Alto"))</f>
        <v>Alto</v>
      </c>
      <c r="G112">
        <v>1</v>
      </c>
    </row>
    <row r="113" spans="1:7" x14ac:dyDescent="0.25">
      <c r="A113">
        <v>6.4</v>
      </c>
      <c r="B113">
        <v>2.7</v>
      </c>
      <c r="C113">
        <v>5.3</v>
      </c>
      <c r="D113">
        <v>1.9</v>
      </c>
      <c r="E113" t="s">
        <v>19</v>
      </c>
      <c r="F113" t="str">
        <f>IF(Dati_grezzi!C113&lt;=$J$2,"Basso",IF(C113&lt;=$J$3,"Medio","Alto"))</f>
        <v>Alto</v>
      </c>
      <c r="G113">
        <v>1</v>
      </c>
    </row>
    <row r="114" spans="1:7" x14ac:dyDescent="0.25">
      <c r="A114">
        <v>6.8</v>
      </c>
      <c r="B114">
        <v>3</v>
      </c>
      <c r="C114">
        <v>5.5</v>
      </c>
      <c r="D114">
        <v>2.1</v>
      </c>
      <c r="E114" t="s">
        <v>19</v>
      </c>
      <c r="F114" t="str">
        <f>IF(Dati_grezzi!C114&lt;=$J$2,"Basso",IF(C114&lt;=$J$3,"Medio","Alto"))</f>
        <v>Alto</v>
      </c>
      <c r="G114">
        <v>1</v>
      </c>
    </row>
    <row r="115" spans="1:7" x14ac:dyDescent="0.25">
      <c r="A115">
        <v>5.7</v>
      </c>
      <c r="B115">
        <v>2.5</v>
      </c>
      <c r="C115">
        <v>5</v>
      </c>
      <c r="D115">
        <v>2</v>
      </c>
      <c r="E115" t="s">
        <v>19</v>
      </c>
      <c r="F115" t="str">
        <f>IF(Dati_grezzi!C115&lt;=$J$2,"Basso",IF(C115&lt;=$J$3,"Medio","Alto"))</f>
        <v>Alto</v>
      </c>
      <c r="G115">
        <v>1</v>
      </c>
    </row>
    <row r="116" spans="1:7" x14ac:dyDescent="0.25">
      <c r="A116">
        <v>5.8</v>
      </c>
      <c r="B116">
        <v>2.8</v>
      </c>
      <c r="C116">
        <v>5.0999999999999996</v>
      </c>
      <c r="D116">
        <v>2.4</v>
      </c>
      <c r="E116" t="s">
        <v>19</v>
      </c>
      <c r="F116" t="str">
        <f>IF(Dati_grezzi!C116&lt;=$J$2,"Basso",IF(C116&lt;=$J$3,"Medio","Alto"))</f>
        <v>Alto</v>
      </c>
      <c r="G116">
        <v>1</v>
      </c>
    </row>
    <row r="117" spans="1:7" x14ac:dyDescent="0.25">
      <c r="A117">
        <v>6.4</v>
      </c>
      <c r="B117">
        <v>3.2</v>
      </c>
      <c r="C117">
        <v>5.3</v>
      </c>
      <c r="D117">
        <v>2.2999999999999998</v>
      </c>
      <c r="E117" t="s">
        <v>19</v>
      </c>
      <c r="F117" t="str">
        <f>IF(Dati_grezzi!C117&lt;=$J$2,"Basso",IF(C117&lt;=$J$3,"Medio","Alto"))</f>
        <v>Alto</v>
      </c>
      <c r="G117">
        <v>1</v>
      </c>
    </row>
    <row r="118" spans="1:7" x14ac:dyDescent="0.25">
      <c r="A118">
        <v>6.5</v>
      </c>
      <c r="B118">
        <v>3</v>
      </c>
      <c r="C118">
        <v>5.5</v>
      </c>
      <c r="D118">
        <v>1.8</v>
      </c>
      <c r="E118" t="s">
        <v>19</v>
      </c>
      <c r="F118" t="str">
        <f>IF(Dati_grezzi!C118&lt;=$J$2,"Basso",IF(C118&lt;=$J$3,"Medio","Alto"))</f>
        <v>Alto</v>
      </c>
      <c r="G118">
        <v>1</v>
      </c>
    </row>
    <row r="119" spans="1:7" x14ac:dyDescent="0.25">
      <c r="A119">
        <v>7.7</v>
      </c>
      <c r="B119">
        <v>3.8</v>
      </c>
      <c r="C119">
        <v>6.7</v>
      </c>
      <c r="D119">
        <v>2.2000000000000002</v>
      </c>
      <c r="E119" t="s">
        <v>19</v>
      </c>
      <c r="F119" t="str">
        <f>IF(Dati_grezzi!C119&lt;=$J$2,"Basso",IF(C119&lt;=$J$3,"Medio","Alto"))</f>
        <v>Alto</v>
      </c>
      <c r="G119">
        <v>1</v>
      </c>
    </row>
    <row r="120" spans="1:7" x14ac:dyDescent="0.25">
      <c r="A120">
        <v>7.7</v>
      </c>
      <c r="B120">
        <v>2.6</v>
      </c>
      <c r="C120">
        <v>6.9</v>
      </c>
      <c r="D120">
        <v>2.2999999999999998</v>
      </c>
      <c r="E120" t="s">
        <v>19</v>
      </c>
      <c r="F120" t="str">
        <f>IF(Dati_grezzi!C120&lt;=$J$2,"Basso",IF(C120&lt;=$J$3,"Medio","Alto"))</f>
        <v>Alto</v>
      </c>
      <c r="G120">
        <v>1</v>
      </c>
    </row>
    <row r="121" spans="1:7" x14ac:dyDescent="0.25">
      <c r="A121">
        <v>6</v>
      </c>
      <c r="B121">
        <v>2.2000000000000002</v>
      </c>
      <c r="C121">
        <v>5</v>
      </c>
      <c r="D121">
        <v>1.5</v>
      </c>
      <c r="E121" t="s">
        <v>19</v>
      </c>
      <c r="F121" t="str">
        <f>IF(Dati_grezzi!C121&lt;=$J$2,"Basso",IF(C121&lt;=$J$3,"Medio","Alto"))</f>
        <v>Alto</v>
      </c>
      <c r="G121">
        <v>1</v>
      </c>
    </row>
    <row r="122" spans="1:7" x14ac:dyDescent="0.25">
      <c r="A122">
        <v>6.9</v>
      </c>
      <c r="B122">
        <v>3.2</v>
      </c>
      <c r="C122">
        <v>5.7</v>
      </c>
      <c r="D122">
        <v>2.2999999999999998</v>
      </c>
      <c r="E122" t="s">
        <v>19</v>
      </c>
      <c r="F122" t="str">
        <f>IF(Dati_grezzi!C122&lt;=$J$2,"Basso",IF(C122&lt;=$J$3,"Medio","Alto"))</f>
        <v>Alto</v>
      </c>
      <c r="G122">
        <v>1</v>
      </c>
    </row>
    <row r="123" spans="1:7" x14ac:dyDescent="0.25">
      <c r="A123">
        <v>5.6</v>
      </c>
      <c r="B123">
        <v>2.8</v>
      </c>
      <c r="C123">
        <v>4.9000000000000004</v>
      </c>
      <c r="D123">
        <v>2</v>
      </c>
      <c r="E123" t="s">
        <v>19</v>
      </c>
      <c r="F123" t="str">
        <f>IF(Dati_grezzi!C123&lt;=$J$2,"Basso",IF(C123&lt;=$J$3,"Medio","Alto"))</f>
        <v>Medio</v>
      </c>
      <c r="G123">
        <v>1</v>
      </c>
    </row>
    <row r="124" spans="1:7" x14ac:dyDescent="0.25">
      <c r="A124">
        <v>7.7</v>
      </c>
      <c r="B124">
        <v>2.8</v>
      </c>
      <c r="C124">
        <v>6.7</v>
      </c>
      <c r="D124">
        <v>2</v>
      </c>
      <c r="E124" t="s">
        <v>19</v>
      </c>
      <c r="F124" t="str">
        <f>IF(Dati_grezzi!C124&lt;=$J$2,"Basso",IF(C124&lt;=$J$3,"Medio","Alto"))</f>
        <v>Alto</v>
      </c>
      <c r="G124">
        <v>1</v>
      </c>
    </row>
    <row r="125" spans="1:7" x14ac:dyDescent="0.25">
      <c r="A125">
        <v>6.3</v>
      </c>
      <c r="B125">
        <v>2.7</v>
      </c>
      <c r="C125">
        <v>4.9000000000000004</v>
      </c>
      <c r="D125">
        <v>1.8</v>
      </c>
      <c r="E125" t="s">
        <v>19</v>
      </c>
      <c r="F125" t="str">
        <f>IF(Dati_grezzi!C125&lt;=$J$2,"Basso",IF(C125&lt;=$J$3,"Medio","Alto"))</f>
        <v>Medio</v>
      </c>
      <c r="G125">
        <v>1</v>
      </c>
    </row>
    <row r="126" spans="1:7" x14ac:dyDescent="0.25">
      <c r="A126">
        <v>6.7</v>
      </c>
      <c r="B126">
        <v>3.3</v>
      </c>
      <c r="C126">
        <v>5.7</v>
      </c>
      <c r="D126">
        <v>2.1</v>
      </c>
      <c r="E126" t="s">
        <v>19</v>
      </c>
      <c r="F126" t="str">
        <f>IF(Dati_grezzi!C126&lt;=$J$2,"Basso",IF(C126&lt;=$J$3,"Medio","Alto"))</f>
        <v>Alto</v>
      </c>
      <c r="G126">
        <v>1</v>
      </c>
    </row>
    <row r="127" spans="1:7" x14ac:dyDescent="0.25">
      <c r="A127">
        <v>7.2</v>
      </c>
      <c r="B127">
        <v>3.2</v>
      </c>
      <c r="C127">
        <v>6</v>
      </c>
      <c r="D127">
        <v>1.8</v>
      </c>
      <c r="E127" t="s">
        <v>19</v>
      </c>
      <c r="F127" t="str">
        <f>IF(Dati_grezzi!C127&lt;=$J$2,"Basso",IF(C127&lt;=$J$3,"Medio","Alto"))</f>
        <v>Alto</v>
      </c>
      <c r="G127">
        <v>1</v>
      </c>
    </row>
    <row r="128" spans="1:7" x14ac:dyDescent="0.25">
      <c r="A128">
        <v>6.2</v>
      </c>
      <c r="B128">
        <v>2.8</v>
      </c>
      <c r="C128">
        <v>4.8</v>
      </c>
      <c r="D128">
        <v>1.8</v>
      </c>
      <c r="E128" t="s">
        <v>19</v>
      </c>
      <c r="F128" t="str">
        <f>IF(Dati_grezzi!C128&lt;=$J$2,"Basso",IF(C128&lt;=$J$3,"Medio","Alto"))</f>
        <v>Medio</v>
      </c>
      <c r="G128">
        <v>1</v>
      </c>
    </row>
    <row r="129" spans="1:7" x14ac:dyDescent="0.25">
      <c r="A129">
        <v>6.1</v>
      </c>
      <c r="B129">
        <v>3</v>
      </c>
      <c r="C129">
        <v>4.9000000000000004</v>
      </c>
      <c r="D129">
        <v>1.8</v>
      </c>
      <c r="E129" t="s">
        <v>19</v>
      </c>
      <c r="F129" t="str">
        <f>IF(Dati_grezzi!C129&lt;=$J$2,"Basso",IF(C129&lt;=$J$3,"Medio","Alto"))</f>
        <v>Medio</v>
      </c>
      <c r="G129">
        <v>1</v>
      </c>
    </row>
    <row r="130" spans="1:7" x14ac:dyDescent="0.25">
      <c r="A130">
        <v>6.4</v>
      </c>
      <c r="B130">
        <v>2.8</v>
      </c>
      <c r="C130">
        <v>5.6</v>
      </c>
      <c r="D130">
        <v>2.1</v>
      </c>
      <c r="E130" t="s">
        <v>19</v>
      </c>
      <c r="F130" t="str">
        <f>IF(Dati_grezzi!C130&lt;=$J$2,"Basso",IF(C130&lt;=$J$3,"Medio","Alto"))</f>
        <v>Alto</v>
      </c>
      <c r="G130">
        <v>1</v>
      </c>
    </row>
    <row r="131" spans="1:7" x14ac:dyDescent="0.25">
      <c r="A131">
        <v>7.2</v>
      </c>
      <c r="B131">
        <v>3</v>
      </c>
      <c r="C131">
        <v>5.8</v>
      </c>
      <c r="D131">
        <v>1.6</v>
      </c>
      <c r="E131" t="s">
        <v>19</v>
      </c>
      <c r="F131" t="str">
        <f>IF(Dati_grezzi!C131&lt;=$J$2,"Basso",IF(C131&lt;=$J$3,"Medio","Alto"))</f>
        <v>Alto</v>
      </c>
      <c r="G131">
        <v>1</v>
      </c>
    </row>
    <row r="132" spans="1:7" x14ac:dyDescent="0.25">
      <c r="A132">
        <v>7.4</v>
      </c>
      <c r="B132">
        <v>2.8</v>
      </c>
      <c r="C132">
        <v>6.1</v>
      </c>
      <c r="D132">
        <v>1.9</v>
      </c>
      <c r="E132" t="s">
        <v>19</v>
      </c>
      <c r="F132" t="str">
        <f>IF(Dati_grezzi!C132&lt;=$J$2,"Basso",IF(C132&lt;=$J$3,"Medio","Alto"))</f>
        <v>Alto</v>
      </c>
      <c r="G132">
        <v>1</v>
      </c>
    </row>
    <row r="133" spans="1:7" x14ac:dyDescent="0.25">
      <c r="A133">
        <v>7.9</v>
      </c>
      <c r="B133">
        <v>3.8</v>
      </c>
      <c r="C133">
        <v>6.4</v>
      </c>
      <c r="D133">
        <v>2</v>
      </c>
      <c r="E133" t="s">
        <v>19</v>
      </c>
      <c r="F133" t="str">
        <f>IF(Dati_grezzi!C133&lt;=$J$2,"Basso",IF(C133&lt;=$J$3,"Medio","Alto"))</f>
        <v>Alto</v>
      </c>
      <c r="G133">
        <v>1</v>
      </c>
    </row>
    <row r="134" spans="1:7" x14ac:dyDescent="0.25">
      <c r="A134">
        <v>6.4</v>
      </c>
      <c r="B134">
        <v>2.8</v>
      </c>
      <c r="C134">
        <v>5.6</v>
      </c>
      <c r="D134">
        <v>2.2000000000000002</v>
      </c>
      <c r="E134" t="s">
        <v>19</v>
      </c>
      <c r="F134" t="str">
        <f>IF(Dati_grezzi!C134&lt;=$J$2,"Basso",IF(C134&lt;=$J$3,"Medio","Alto"))</f>
        <v>Alto</v>
      </c>
      <c r="G134">
        <v>1</v>
      </c>
    </row>
    <row r="135" spans="1:7" x14ac:dyDescent="0.25">
      <c r="A135">
        <v>6.3</v>
      </c>
      <c r="B135">
        <v>2.8</v>
      </c>
      <c r="C135">
        <v>5.0999999999999996</v>
      </c>
      <c r="D135">
        <v>1.5</v>
      </c>
      <c r="E135" t="s">
        <v>19</v>
      </c>
      <c r="F135" t="str">
        <f>IF(Dati_grezzi!C135&lt;=$J$2,"Basso",IF(C135&lt;=$J$3,"Medio","Alto"))</f>
        <v>Alto</v>
      </c>
      <c r="G135">
        <v>1</v>
      </c>
    </row>
    <row r="136" spans="1:7" x14ac:dyDescent="0.25">
      <c r="A136">
        <v>6.1</v>
      </c>
      <c r="B136">
        <v>2.6</v>
      </c>
      <c r="C136">
        <v>5.6</v>
      </c>
      <c r="D136">
        <v>1.4</v>
      </c>
      <c r="E136" t="s">
        <v>19</v>
      </c>
      <c r="F136" t="str">
        <f>IF(Dati_grezzi!C136&lt;=$J$2,"Basso",IF(C136&lt;=$J$3,"Medio","Alto"))</f>
        <v>Alto</v>
      </c>
      <c r="G136">
        <v>1</v>
      </c>
    </row>
    <row r="137" spans="1:7" x14ac:dyDescent="0.25">
      <c r="A137">
        <v>7.7</v>
      </c>
      <c r="B137">
        <v>3</v>
      </c>
      <c r="C137">
        <v>6.1</v>
      </c>
      <c r="D137">
        <v>2.2999999999999998</v>
      </c>
      <c r="E137" t="s">
        <v>19</v>
      </c>
      <c r="F137" t="str">
        <f>IF(Dati_grezzi!C137&lt;=$J$2,"Basso",IF(C137&lt;=$J$3,"Medio","Alto"))</f>
        <v>Alto</v>
      </c>
      <c r="G137">
        <v>1</v>
      </c>
    </row>
    <row r="138" spans="1:7" x14ac:dyDescent="0.25">
      <c r="A138">
        <v>6.3</v>
      </c>
      <c r="B138">
        <v>3.4</v>
      </c>
      <c r="C138">
        <v>5.6</v>
      </c>
      <c r="D138">
        <v>2.4</v>
      </c>
      <c r="E138" t="s">
        <v>19</v>
      </c>
      <c r="F138" t="str">
        <f>IF(Dati_grezzi!C138&lt;=$J$2,"Basso",IF(C138&lt;=$J$3,"Medio","Alto"))</f>
        <v>Alto</v>
      </c>
      <c r="G138">
        <v>1</v>
      </c>
    </row>
    <row r="139" spans="1:7" x14ac:dyDescent="0.25">
      <c r="A139">
        <v>6.4</v>
      </c>
      <c r="B139">
        <v>3.1</v>
      </c>
      <c r="C139">
        <v>5.5</v>
      </c>
      <c r="D139">
        <v>1.8</v>
      </c>
      <c r="E139" t="s">
        <v>19</v>
      </c>
      <c r="F139" t="str">
        <f>IF(Dati_grezzi!C139&lt;=$J$2,"Basso",IF(C139&lt;=$J$3,"Medio","Alto"))</f>
        <v>Alto</v>
      </c>
      <c r="G139">
        <v>1</v>
      </c>
    </row>
    <row r="140" spans="1:7" x14ac:dyDescent="0.25">
      <c r="A140">
        <v>6</v>
      </c>
      <c r="B140">
        <v>3</v>
      </c>
      <c r="C140">
        <v>4.8</v>
      </c>
      <c r="D140">
        <v>1.8</v>
      </c>
      <c r="E140" t="s">
        <v>19</v>
      </c>
      <c r="F140" t="str">
        <f>IF(Dati_grezzi!C140&lt;=$J$2,"Basso",IF(C140&lt;=$J$3,"Medio","Alto"))</f>
        <v>Medio</v>
      </c>
      <c r="G140">
        <v>1</v>
      </c>
    </row>
    <row r="141" spans="1:7" x14ac:dyDescent="0.25">
      <c r="A141">
        <v>6.9</v>
      </c>
      <c r="B141">
        <v>3.1</v>
      </c>
      <c r="C141">
        <v>5.4</v>
      </c>
      <c r="D141">
        <v>2.1</v>
      </c>
      <c r="E141" t="s">
        <v>19</v>
      </c>
      <c r="F141" t="str">
        <f>IF(Dati_grezzi!C141&lt;=$J$2,"Basso",IF(C141&lt;=$J$3,"Medio","Alto"))</f>
        <v>Alto</v>
      </c>
      <c r="G141">
        <v>1</v>
      </c>
    </row>
    <row r="142" spans="1:7" x14ac:dyDescent="0.25">
      <c r="A142">
        <v>6.7</v>
      </c>
      <c r="B142">
        <v>3.1</v>
      </c>
      <c r="C142">
        <v>5.6</v>
      </c>
      <c r="D142">
        <v>2.4</v>
      </c>
      <c r="E142" t="s">
        <v>19</v>
      </c>
      <c r="F142" t="str">
        <f>IF(Dati_grezzi!C142&lt;=$J$2,"Basso",IF(C142&lt;=$J$3,"Medio","Alto"))</f>
        <v>Alto</v>
      </c>
      <c r="G142">
        <v>1</v>
      </c>
    </row>
    <row r="143" spans="1:7" x14ac:dyDescent="0.25">
      <c r="A143">
        <v>6.9</v>
      </c>
      <c r="B143">
        <v>3.1</v>
      </c>
      <c r="C143">
        <v>5.0999999999999996</v>
      </c>
      <c r="D143">
        <v>2.2999999999999998</v>
      </c>
      <c r="E143" t="s">
        <v>19</v>
      </c>
      <c r="F143" t="str">
        <f>IF(Dati_grezzi!C143&lt;=$J$2,"Basso",IF(C143&lt;=$J$3,"Medio","Alto"))</f>
        <v>Alto</v>
      </c>
      <c r="G143">
        <v>1</v>
      </c>
    </row>
    <row r="144" spans="1:7" x14ac:dyDescent="0.25">
      <c r="A144">
        <v>5.8</v>
      </c>
      <c r="B144">
        <v>2.7</v>
      </c>
      <c r="C144">
        <v>5.0999999999999996</v>
      </c>
      <c r="D144">
        <v>1.9</v>
      </c>
      <c r="E144" t="s">
        <v>19</v>
      </c>
      <c r="F144" t="str">
        <f>IF(Dati_grezzi!C144&lt;=$J$2,"Basso",IF(C144&lt;=$J$3,"Medio","Alto"))</f>
        <v>Alto</v>
      </c>
      <c r="G144">
        <v>1</v>
      </c>
    </row>
    <row r="145" spans="1:7" x14ac:dyDescent="0.25">
      <c r="A145">
        <v>6.8</v>
      </c>
      <c r="B145">
        <v>3.2</v>
      </c>
      <c r="C145">
        <v>5.9</v>
      </c>
      <c r="D145">
        <v>2.2999999999999998</v>
      </c>
      <c r="E145" t="s">
        <v>19</v>
      </c>
      <c r="F145" t="str">
        <f>IF(Dati_grezzi!C145&lt;=$J$2,"Basso",IF(C145&lt;=$J$3,"Medio","Alto"))</f>
        <v>Alto</v>
      </c>
      <c r="G145">
        <v>1</v>
      </c>
    </row>
    <row r="146" spans="1:7" x14ac:dyDescent="0.25">
      <c r="A146">
        <v>6.7</v>
      </c>
      <c r="B146">
        <v>3.3</v>
      </c>
      <c r="C146">
        <v>5.7</v>
      </c>
      <c r="D146">
        <v>2.5</v>
      </c>
      <c r="E146" t="s">
        <v>19</v>
      </c>
      <c r="F146" t="str">
        <f>IF(Dati_grezzi!C146&lt;=$J$2,"Basso",IF(C146&lt;=$J$3,"Medio","Alto"))</f>
        <v>Alto</v>
      </c>
      <c r="G146">
        <v>1</v>
      </c>
    </row>
    <row r="147" spans="1:7" x14ac:dyDescent="0.25">
      <c r="A147">
        <v>6.7</v>
      </c>
      <c r="B147">
        <v>3</v>
      </c>
      <c r="C147">
        <v>5.2</v>
      </c>
      <c r="D147">
        <v>2.2999999999999998</v>
      </c>
      <c r="E147" t="s">
        <v>19</v>
      </c>
      <c r="F147" t="str">
        <f>IF(Dati_grezzi!C147&lt;=$J$2,"Basso",IF(C147&lt;=$J$3,"Medio","Alto"))</f>
        <v>Alto</v>
      </c>
      <c r="G147">
        <v>1</v>
      </c>
    </row>
    <row r="148" spans="1:7" x14ac:dyDescent="0.25">
      <c r="A148">
        <v>6.3</v>
      </c>
      <c r="B148">
        <v>2.5</v>
      </c>
      <c r="C148">
        <v>5</v>
      </c>
      <c r="D148">
        <v>1.9</v>
      </c>
      <c r="E148" t="s">
        <v>19</v>
      </c>
      <c r="F148" t="str">
        <f>IF(Dati_grezzi!C148&lt;=$J$2,"Basso",IF(C148&lt;=$J$3,"Medio","Alto"))</f>
        <v>Alto</v>
      </c>
      <c r="G148">
        <v>1</v>
      </c>
    </row>
    <row r="149" spans="1:7" x14ac:dyDescent="0.25">
      <c r="A149">
        <v>6.5</v>
      </c>
      <c r="B149">
        <v>3</v>
      </c>
      <c r="C149">
        <v>5.2</v>
      </c>
      <c r="D149">
        <v>2</v>
      </c>
      <c r="E149" t="s">
        <v>19</v>
      </c>
      <c r="F149" t="str">
        <f>IF(Dati_grezzi!C149&lt;=$J$2,"Basso",IF(C149&lt;=$J$3,"Medio","Alto"))</f>
        <v>Alto</v>
      </c>
      <c r="G149">
        <v>1</v>
      </c>
    </row>
    <row r="150" spans="1:7" x14ac:dyDescent="0.25">
      <c r="A150">
        <v>6.2</v>
      </c>
      <c r="B150">
        <v>3.4</v>
      </c>
      <c r="C150">
        <v>5.4</v>
      </c>
      <c r="D150">
        <v>2.2999999999999998</v>
      </c>
      <c r="E150" t="s">
        <v>19</v>
      </c>
      <c r="F150" t="str">
        <f>IF(Dati_grezzi!C150&lt;=$J$2,"Basso",IF(C150&lt;=$J$3,"Medio","Alto"))</f>
        <v>Alto</v>
      </c>
      <c r="G150">
        <v>1</v>
      </c>
    </row>
    <row r="151" spans="1:7" x14ac:dyDescent="0.25">
      <c r="A151">
        <v>5.9</v>
      </c>
      <c r="B151">
        <v>3</v>
      </c>
      <c r="C151">
        <v>5.0999999999999996</v>
      </c>
      <c r="D151">
        <v>1.8</v>
      </c>
      <c r="E151" t="s">
        <v>19</v>
      </c>
      <c r="F151" t="str">
        <f>IF(Dati_grezzi!C151&lt;=$J$2,"Basso",IF(C151&lt;=$J$3,"Medio","Alto"))</f>
        <v>Alto</v>
      </c>
      <c r="G151">
        <v>1</v>
      </c>
    </row>
  </sheetData>
  <autoFilter ref="A1:E15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0"/>
  <sheetViews>
    <sheetView workbookViewId="0">
      <selection activeCell="D6" sqref="D6"/>
    </sheetView>
  </sheetViews>
  <sheetFormatPr defaultRowHeight="15" x14ac:dyDescent="0.25"/>
  <cols>
    <col min="1" max="1" width="22" customWidth="1"/>
    <col min="2" max="2" width="16" customWidth="1"/>
    <col min="3" max="3" width="14" customWidth="1"/>
    <col min="4" max="5" width="22" customWidth="1"/>
    <col min="6" max="7" width="14" customWidth="1"/>
    <col min="8" max="10" width="20" customWidth="1"/>
  </cols>
  <sheetData>
    <row r="1" spans="1:10" x14ac:dyDescent="0.25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  <c r="J1" s="4" t="s">
        <v>29</v>
      </c>
    </row>
    <row r="2" spans="1:10" x14ac:dyDescent="0.25">
      <c r="A2" t="s">
        <v>9</v>
      </c>
      <c r="B2" t="s">
        <v>17</v>
      </c>
      <c r="C2">
        <f>AVERAGEIF(Dati_grezzi!$E$2:$E$151,"setosa",Dati_grezzi!$A$2:$A$151)</f>
        <v>5.0059999999999993</v>
      </c>
      <c r="D2">
        <f>MEDIAN(Dati_grezzi!A2:A51)</f>
        <v>5</v>
      </c>
      <c r="E2">
        <f>STDEV(Dati_grezzi!A2:A51)</f>
        <v>0.3524896872134512</v>
      </c>
      <c r="F2">
        <f>_xlfn.MINIFS(Dati_grezzi!$A$2:$A$151,Dati_grezzi!$E$2:$E$151,"setosa")</f>
        <v>4.3</v>
      </c>
      <c r="G2">
        <f>_xlfn.SINGLE(_xlfn.MAXIFS(Dati_grezzi!$A$2:$A$151,Dati_grezzi!$E$2:$E$151,"setosa"))</f>
        <v>5.8</v>
      </c>
      <c r="H2">
        <f>_xlfn.QUARTILE.INC(Dati_grezzi!A2:A51,1)</f>
        <v>4.8</v>
      </c>
      <c r="I2">
        <f>_xlfn.QUARTILE.INC(Dati_grezzi!A2:A51,3)</f>
        <v>5.2</v>
      </c>
      <c r="J2">
        <f>I2-H2</f>
        <v>0.40000000000000036</v>
      </c>
    </row>
    <row r="3" spans="1:10" x14ac:dyDescent="0.25">
      <c r="A3" t="s">
        <v>9</v>
      </c>
      <c r="B3" t="s">
        <v>18</v>
      </c>
      <c r="C3">
        <f>AVERAGEIF(Dati_grezzi!$E$2:$E$151,"versicolor",Dati_grezzi!$A$2:$A$151)</f>
        <v>5.9359999999999999</v>
      </c>
      <c r="F3">
        <f>_xlfn.MINIFS(Dati_grezzi!$A$2:$A$151,Dati_grezzi!$E$2:$E$151,"versicolor")</f>
        <v>4.9000000000000004</v>
      </c>
      <c r="G3">
        <f>_xlfn.SINGLE(_xlfn.MAXIFS(Dati_grezzi!$A$2:$A$151,Dati_grezzi!$E$2:$E$151,"versicolor"))</f>
        <v>7</v>
      </c>
    </row>
    <row r="4" spans="1:10" x14ac:dyDescent="0.25">
      <c r="A4" t="s">
        <v>9</v>
      </c>
      <c r="B4" t="s">
        <v>19</v>
      </c>
      <c r="C4">
        <f>AVERAGEIF(Dati_grezzi!$E$2:$E$151,"virginica",Dati_grezzi!$A$2:$A$151)</f>
        <v>6.5879999999999983</v>
      </c>
      <c r="F4">
        <f>_xlfn.MINIFS(Dati_grezzi!$A$2:$A$151,Dati_grezzi!$E$2:$E$151,"virginica")</f>
        <v>4.9000000000000004</v>
      </c>
      <c r="G4">
        <f>_xlfn.SINGLE(_xlfn.MAXIFS(Dati_grezzi!$A$2:$A$151,Dati_grezzi!$E$2:$E$151,"virginica"))</f>
        <v>7.9</v>
      </c>
    </row>
    <row r="5" spans="1:10" x14ac:dyDescent="0.25">
      <c r="A5" t="s">
        <v>10</v>
      </c>
      <c r="B5" t="s">
        <v>17</v>
      </c>
      <c r="C5">
        <f>AVERAGEIF(Dati_grezzi!$E$2:$E$151,"setosa",Dati_grezzi!$B$2:$B$151)</f>
        <v>3.4280000000000008</v>
      </c>
      <c r="F5">
        <f>_xlfn.MINIFS(Dati_grezzi!$B$2:$B$151,Dati_grezzi!$E$2:$E$151,"setosa")</f>
        <v>2.2999999999999998</v>
      </c>
      <c r="G5">
        <f>_xlfn.SINGLE(_xlfn.MAXIFS(Dati_grezzi!$B$2:$B$151,Dati_grezzi!$E$2:$E$151,"setosa"))</f>
        <v>4.4000000000000004</v>
      </c>
    </row>
    <row r="6" spans="1:10" x14ac:dyDescent="0.25">
      <c r="A6" t="s">
        <v>10</v>
      </c>
      <c r="B6" t="s">
        <v>18</v>
      </c>
      <c r="C6">
        <f>AVERAGEIF(Dati_grezzi!$E$2:$E$151,"versicolor",Dati_grezzi!$B$2:$B$151)</f>
        <v>2.7700000000000005</v>
      </c>
      <c r="F6">
        <f>_xlfn.MINIFS(Dati_grezzi!$B$2:$B$151,Dati_grezzi!$E$2:$E$151,"versicolor")</f>
        <v>2</v>
      </c>
      <c r="G6">
        <f>_xlfn.SINGLE(_xlfn.MAXIFS(Dati_grezzi!$B$2:$B$151,Dati_grezzi!$E$2:$E$151,"versicolor"))</f>
        <v>3.4</v>
      </c>
    </row>
    <row r="7" spans="1:10" x14ac:dyDescent="0.25">
      <c r="A7" t="s">
        <v>10</v>
      </c>
      <c r="B7" t="s">
        <v>19</v>
      </c>
      <c r="C7">
        <f>AVERAGEIF(Dati_grezzi!$E$2:$E$151,"virginica",Dati_grezzi!$B$2:$B$151)</f>
        <v>2.9739999999999998</v>
      </c>
      <c r="F7">
        <f>_xlfn.MINIFS(Dati_grezzi!$B$2:$B$151,Dati_grezzi!$E$2:$E$151,"virginica")</f>
        <v>2.2000000000000002</v>
      </c>
      <c r="G7">
        <f>_xlfn.SINGLE(_xlfn.MAXIFS(Dati_grezzi!$B$2:$B$151,Dati_grezzi!$E$2:$E$151,"virginica"))</f>
        <v>3.8</v>
      </c>
    </row>
    <row r="8" spans="1:10" x14ac:dyDescent="0.25">
      <c r="A8" t="s">
        <v>11</v>
      </c>
      <c r="B8" t="s">
        <v>17</v>
      </c>
      <c r="C8">
        <f>AVERAGEIF(Dati_grezzi!$E$2:$E$151,"setosa",Dati_grezzi!$C$2:$C$151)</f>
        <v>1.4620000000000002</v>
      </c>
      <c r="F8">
        <f>_xlfn.MINIFS(Dati_grezzi!$C$2:$C$151,Dati_grezzi!$E$2:$E$151,"setosa")</f>
        <v>1</v>
      </c>
      <c r="G8">
        <f>_xlfn.SINGLE(_xlfn.MAXIFS(Dati_grezzi!$C$2:$C$151,Dati_grezzi!$E$2:$E$151,"setosa"))</f>
        <v>1.9</v>
      </c>
    </row>
    <row r="9" spans="1:10" x14ac:dyDescent="0.25">
      <c r="A9" t="s">
        <v>11</v>
      </c>
      <c r="B9" t="s">
        <v>18</v>
      </c>
      <c r="C9">
        <f>AVERAGEIF(Dati_grezzi!$E$2:$E$151,"versicolor",Dati_grezzi!$C$2:$C$151)</f>
        <v>4.26</v>
      </c>
      <c r="F9">
        <f>_xlfn.MINIFS(Dati_grezzi!$C$2:$C$151,Dati_grezzi!$E$2:$E$151,"versicolor")</f>
        <v>3</v>
      </c>
      <c r="G9">
        <f>_xlfn.SINGLE(_xlfn.MAXIFS(Dati_grezzi!$C$2:$C$151,Dati_grezzi!$E$2:$E$151,"versicolor"))</f>
        <v>5.0999999999999996</v>
      </c>
    </row>
    <row r="10" spans="1:10" x14ac:dyDescent="0.25">
      <c r="A10" t="s">
        <v>11</v>
      </c>
      <c r="B10" t="s">
        <v>19</v>
      </c>
      <c r="C10">
        <f>AVERAGEIF(Dati_grezzi!$E$2:$E$151,"virginica",Dati_grezzi!$C$2:$C$151)</f>
        <v>5.5519999999999996</v>
      </c>
      <c r="F10">
        <f>_xlfn.MINIFS(Dati_grezzi!$C$2:$C$151,Dati_grezzi!$E$2:$E$151,"virginica")</f>
        <v>4.5</v>
      </c>
      <c r="G10">
        <f>_xlfn.SINGLE(_xlfn.MAXIFS(Dati_grezzi!$C$2:$C$151,Dati_grezzi!$E$2:$E$151,"virginica"))</f>
        <v>6.9</v>
      </c>
    </row>
    <row r="11" spans="1:10" x14ac:dyDescent="0.25">
      <c r="A11" t="s">
        <v>12</v>
      </c>
      <c r="B11" t="s">
        <v>17</v>
      </c>
      <c r="C11">
        <f>AVERAGEIF(Dati_grezzi!$E$2:$E$151,"setosa",Dati_grezzi!$D$2:$D$151)</f>
        <v>0.24599999999999991</v>
      </c>
      <c r="F11">
        <f>_xlfn.SINGLE(_xlfn.MINIFS(Dati_grezzi!$D$2:$D$151,Dati_grezzi!$E$2:$E$151,"setosa"))</f>
        <v>0.1</v>
      </c>
      <c r="G11">
        <f>_xlfn.SINGLE(_xlfn.MAXIFS(Dati_grezzi!$D$2:$D$151,Dati_grezzi!$E$2:$E$151,"setosa"))</f>
        <v>0.6</v>
      </c>
    </row>
    <row r="12" spans="1:10" x14ac:dyDescent="0.25">
      <c r="A12" t="s">
        <v>12</v>
      </c>
      <c r="B12" t="s">
        <v>18</v>
      </c>
      <c r="C12">
        <f>AVERAGEIF(Dati_grezzi!$E$2:$E$151,"versicolor",Dati_grezzi!$D$2:$D$151)</f>
        <v>1.3259999999999998</v>
      </c>
      <c r="F12">
        <f>_xlfn.SINGLE(_xlfn.MINIFS(Dati_grezzi!$D$2:$D$151,Dati_grezzi!$E$2:$E$151,"versicolor"))</f>
        <v>1</v>
      </c>
      <c r="G12">
        <f>_xlfn.SINGLE(_xlfn.MAXIFS(Dati_grezzi!$D$2:$D$151,Dati_grezzi!$E$2:$E$151,"versicolor"))</f>
        <v>1.8</v>
      </c>
    </row>
    <row r="13" spans="1:10" x14ac:dyDescent="0.25">
      <c r="A13" t="s">
        <v>12</v>
      </c>
      <c r="B13" t="s">
        <v>19</v>
      </c>
      <c r="C13">
        <f>AVERAGEIF(Dati_grezzi!$E$2:$E$151,"virginica",Dati_grezzi!$D$2:$D$151)</f>
        <v>2.0259999999999998</v>
      </c>
      <c r="F13">
        <f>_xlfn.SINGLE(_xlfn.MINIFS(Dati_grezzi!$D$2:$D$151,Dati_grezzi!$E$2:$E$151,"virginica"))</f>
        <v>1.4</v>
      </c>
      <c r="G13">
        <f>_xlfn.SINGLE(_xlfn.MAXIFS(Dati_grezzi!$D$2:$D$151,Dati_grezzi!$E$2:$E$151,"virginica"))</f>
        <v>2.5</v>
      </c>
    </row>
    <row r="50" spans="1:10" x14ac:dyDescent="0.25">
      <c r="A50" s="11" t="s">
        <v>30</v>
      </c>
      <c r="B50" s="12"/>
      <c r="C50" s="12"/>
      <c r="D50" s="12"/>
      <c r="E50" s="12"/>
      <c r="F50" s="12"/>
      <c r="G50" s="12"/>
      <c r="H50" s="12"/>
      <c r="I50" s="12"/>
      <c r="J50" s="12"/>
    </row>
  </sheetData>
  <mergeCells count="1">
    <mergeCell ref="A50:J5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"/>
  <sheetViews>
    <sheetView workbookViewId="0">
      <selection activeCell="B5" sqref="B5"/>
    </sheetView>
  </sheetViews>
  <sheetFormatPr defaultRowHeight="15" x14ac:dyDescent="0.25"/>
  <cols>
    <col min="1" max="1" width="70.28515625" customWidth="1"/>
  </cols>
  <sheetData>
    <row r="1" spans="1:1" ht="18.75" x14ac:dyDescent="0.3">
      <c r="A1" s="1" t="s">
        <v>51</v>
      </c>
    </row>
    <row r="3" spans="1:1" x14ac:dyDescent="0.25">
      <c r="A3" s="3" t="s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workbookViewId="0">
      <selection activeCell="A3" sqref="A3"/>
    </sheetView>
  </sheetViews>
  <sheetFormatPr defaultRowHeight="15" x14ac:dyDescent="0.25"/>
  <cols>
    <col min="1" max="1" width="120" customWidth="1"/>
  </cols>
  <sheetData>
    <row r="1" spans="1:1" ht="18.75" x14ac:dyDescent="0.3">
      <c r="A1" s="1" t="s">
        <v>49</v>
      </c>
    </row>
    <row r="3" spans="1:1" x14ac:dyDescent="0.25">
      <c r="A3" s="3" t="s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5"/>
  <sheetViews>
    <sheetView workbookViewId="0">
      <selection activeCell="C7" sqref="C7"/>
    </sheetView>
  </sheetViews>
  <sheetFormatPr defaultRowHeight="15" x14ac:dyDescent="0.25"/>
  <cols>
    <col min="1" max="1" width="51.7109375" bestFit="1" customWidth="1"/>
    <col min="2" max="2" width="14" customWidth="1"/>
    <col min="3" max="3" width="18" customWidth="1"/>
    <col min="4" max="4" width="2" customWidth="1"/>
    <col min="5" max="8" width="10" customWidth="1"/>
  </cols>
  <sheetData>
    <row r="1" spans="1:15" ht="18.75" x14ac:dyDescent="0.3">
      <c r="A1" s="1" t="s">
        <v>31</v>
      </c>
    </row>
    <row r="3" spans="1:15" x14ac:dyDescent="0.25">
      <c r="A3" s="2" t="s">
        <v>32</v>
      </c>
      <c r="B3" s="4" t="s">
        <v>11</v>
      </c>
    </row>
    <row r="4" spans="1:15" ht="90" x14ac:dyDescent="0.25">
      <c r="N4" s="6" t="s">
        <v>33</v>
      </c>
      <c r="O4" s="6" t="s">
        <v>34</v>
      </c>
    </row>
    <row r="5" spans="1:15" x14ac:dyDescent="0.25">
      <c r="A5" s="4" t="s">
        <v>35</v>
      </c>
      <c r="B5" s="4" t="s">
        <v>36</v>
      </c>
      <c r="C5" s="4" t="s">
        <v>37</v>
      </c>
      <c r="E5" s="4" t="s">
        <v>22</v>
      </c>
      <c r="F5" s="4" t="s">
        <v>38</v>
      </c>
      <c r="G5" s="4" t="s">
        <v>25</v>
      </c>
      <c r="H5" s="4" t="s">
        <v>26</v>
      </c>
    </row>
    <row r="6" spans="1:15" x14ac:dyDescent="0.25">
      <c r="A6">
        <f>INDEX(Dati_grezzi!$A$2:$D$151,1,MATCH($B$3,Dati_grezzi!$A$1:$D$1,0))</f>
        <v>1.4</v>
      </c>
      <c r="B6">
        <f>(A6-$E$6)/$F$6</f>
        <v>-1.3357516342415243</v>
      </c>
      <c r="C6">
        <f>(A6-$G$6)/($H$6-$G$6)</f>
        <v>6.7796610169491511E-2</v>
      </c>
      <c r="E6">
        <f>_xlfn.SINGLE(AVERAGE(INDEX(Dati_grezzi!$A$2:$D$151,0,MATCH($B$3,Dati_grezzi!$A$1:$D$1,0))))</f>
        <v>3.7580000000000027</v>
      </c>
      <c r="F6">
        <f>_xlfn.SINGLE(_xlfn.STDEV.S(INDEX(Dati_grezzi!$A$2:$D$151,0,MATCH($B$3,Dati_grezzi!$A$1:$D$1,0))))</f>
        <v>1.7652982332594624</v>
      </c>
      <c r="G6">
        <f>MIN(INDEX(Dati_grezzi!$A$2:$D$151,0,MATCH($B$3,Dati_grezzi!$A$1:$D$1,0)))</f>
        <v>1</v>
      </c>
      <c r="H6">
        <f>MAX(INDEX(Dati_grezzi!$A$2:$D$151,0,MATCH($B$3,Dati_grezzi!$A$1:$D$1,0)))</f>
        <v>6.9</v>
      </c>
    </row>
    <row r="7" spans="1:15" x14ac:dyDescent="0.25">
      <c r="A7">
        <f>INDEX(Dati_grezzi!$A$2:$D$151,2,MATCH($B$3,Dati_grezzi!$A$1:$D$1,0))</f>
        <v>1.4</v>
      </c>
      <c r="B7">
        <f t="shared" ref="B7:B37" si="0">(A7-$E$6)/$F$6</f>
        <v>-1.3357516342415243</v>
      </c>
      <c r="C7">
        <f t="shared" ref="C7:C37" si="1">(A7-$G$6)/($H$6-$G$6)</f>
        <v>6.7796610169491511E-2</v>
      </c>
    </row>
    <row r="8" spans="1:15" x14ac:dyDescent="0.25">
      <c r="A8">
        <f>INDEX(Dati_grezzi!$A$2:$D$151,3,MATCH($B$3,Dati_grezzi!$A$1:$D$1,0))</f>
        <v>1.3</v>
      </c>
      <c r="B8">
        <f t="shared" si="0"/>
        <v>-1.3923992862449817</v>
      </c>
      <c r="C8">
        <f t="shared" si="1"/>
        <v>5.0847457627118647E-2</v>
      </c>
    </row>
    <row r="9" spans="1:15" x14ac:dyDescent="0.25">
      <c r="A9">
        <f>INDEX(Dati_grezzi!$A$2:$D$151,4,MATCH($B$3,Dati_grezzi!$A$1:$D$1,0))</f>
        <v>1.5</v>
      </c>
      <c r="B9">
        <f t="shared" si="0"/>
        <v>-1.279103982238067</v>
      </c>
      <c r="C9">
        <f t="shared" si="1"/>
        <v>8.4745762711864403E-2</v>
      </c>
    </row>
    <row r="10" spans="1:15" x14ac:dyDescent="0.25">
      <c r="A10">
        <f>INDEX(Dati_grezzi!$A$2:$D$151,5,MATCH($B$3,Dati_grezzi!$A$1:$D$1,0))</f>
        <v>1.4</v>
      </c>
      <c r="B10">
        <f t="shared" si="0"/>
        <v>-1.3357516342415243</v>
      </c>
      <c r="C10">
        <f t="shared" si="1"/>
        <v>6.7796610169491511E-2</v>
      </c>
    </row>
    <row r="11" spans="1:15" x14ac:dyDescent="0.25">
      <c r="A11">
        <f>INDEX(Dati_grezzi!$A$2:$D$151,6,MATCH($B$3,Dati_grezzi!$A$1:$D$1,0))</f>
        <v>1.7</v>
      </c>
      <c r="B11">
        <f t="shared" si="0"/>
        <v>-1.1658086782311523</v>
      </c>
      <c r="C11">
        <f t="shared" si="1"/>
        <v>0.11864406779661016</v>
      </c>
    </row>
    <row r="12" spans="1:15" x14ac:dyDescent="0.25">
      <c r="A12">
        <f>INDEX(Dati_grezzi!$A$2:$D$151,7,MATCH($B$3,Dati_grezzi!$A$1:$D$1,0))</f>
        <v>1.4</v>
      </c>
      <c r="B12">
        <f t="shared" si="0"/>
        <v>-1.3357516342415243</v>
      </c>
      <c r="C12">
        <f t="shared" si="1"/>
        <v>6.7796610169491511E-2</v>
      </c>
    </row>
    <row r="13" spans="1:15" x14ac:dyDescent="0.25">
      <c r="A13">
        <f>INDEX(Dati_grezzi!$A$2:$D$151,8,MATCH($B$3,Dati_grezzi!$A$1:$D$1,0))</f>
        <v>1.5</v>
      </c>
      <c r="B13">
        <f t="shared" si="0"/>
        <v>-1.279103982238067</v>
      </c>
      <c r="C13">
        <f t="shared" si="1"/>
        <v>8.4745762711864403E-2</v>
      </c>
    </row>
    <row r="14" spans="1:15" x14ac:dyDescent="0.25">
      <c r="A14">
        <f>INDEX(Dati_grezzi!$A$2:$D$151,9,MATCH($B$3,Dati_grezzi!$A$1:$D$1,0))</f>
        <v>1.4</v>
      </c>
      <c r="B14">
        <f t="shared" si="0"/>
        <v>-1.3357516342415243</v>
      </c>
      <c r="C14">
        <f t="shared" si="1"/>
        <v>6.7796610169491511E-2</v>
      </c>
    </row>
    <row r="15" spans="1:15" x14ac:dyDescent="0.25">
      <c r="A15">
        <f>INDEX(Dati_grezzi!$A$2:$D$151,10,MATCH($B$3,Dati_grezzi!$A$1:$D$1,0))</f>
        <v>1.5</v>
      </c>
      <c r="B15">
        <f t="shared" si="0"/>
        <v>-1.279103982238067</v>
      </c>
      <c r="C15">
        <f t="shared" si="1"/>
        <v>8.4745762711864403E-2</v>
      </c>
    </row>
    <row r="16" spans="1:15" x14ac:dyDescent="0.25">
      <c r="A16">
        <f>INDEX(Dati_grezzi!$A$2:$D$151,11,MATCH($B$3,Dati_grezzi!$A$1:$D$1,0))</f>
        <v>1.5</v>
      </c>
      <c r="B16">
        <f t="shared" si="0"/>
        <v>-1.279103982238067</v>
      </c>
      <c r="C16">
        <f t="shared" si="1"/>
        <v>8.4745762711864403E-2</v>
      </c>
    </row>
    <row r="17" spans="1:3" x14ac:dyDescent="0.25">
      <c r="A17">
        <f>INDEX(Dati_grezzi!$A$2:$D$151,12,MATCH($B$3,Dati_grezzi!$A$1:$D$1,0))</f>
        <v>1.6</v>
      </c>
      <c r="B17">
        <f t="shared" si="0"/>
        <v>-1.2224563302346096</v>
      </c>
      <c r="C17">
        <f t="shared" si="1"/>
        <v>0.10169491525423729</v>
      </c>
    </row>
    <row r="18" spans="1:3" x14ac:dyDescent="0.25">
      <c r="A18">
        <f>INDEX(Dati_grezzi!$A$2:$D$151,13,MATCH($B$3,Dati_grezzi!$A$1:$D$1,0))</f>
        <v>1.4</v>
      </c>
      <c r="B18">
        <f t="shared" si="0"/>
        <v>-1.3357516342415243</v>
      </c>
      <c r="C18">
        <f t="shared" si="1"/>
        <v>6.7796610169491511E-2</v>
      </c>
    </row>
    <row r="19" spans="1:3" x14ac:dyDescent="0.25">
      <c r="A19">
        <f>INDEX(Dati_grezzi!$A$2:$D$151,14,MATCH($B$3,Dati_grezzi!$A$1:$D$1,0))</f>
        <v>1.1000000000000001</v>
      </c>
      <c r="B19">
        <f t="shared" si="0"/>
        <v>-1.5056945902518961</v>
      </c>
      <c r="C19">
        <f t="shared" si="1"/>
        <v>1.6949152542372895E-2</v>
      </c>
    </row>
    <row r="20" spans="1:3" x14ac:dyDescent="0.25">
      <c r="A20">
        <f>INDEX(Dati_grezzi!$A$2:$D$151,15,MATCH($B$3,Dati_grezzi!$A$1:$D$1,0))</f>
        <v>1.2</v>
      </c>
      <c r="B20">
        <f t="shared" si="0"/>
        <v>-1.4490469382484388</v>
      </c>
      <c r="C20">
        <f t="shared" si="1"/>
        <v>3.3898305084745756E-2</v>
      </c>
    </row>
    <row r="21" spans="1:3" x14ac:dyDescent="0.25">
      <c r="A21">
        <f>INDEX(Dati_grezzi!$A$2:$D$151,16,MATCH($B$3,Dati_grezzi!$A$1:$D$1,0))</f>
        <v>1.5</v>
      </c>
      <c r="B21">
        <f t="shared" si="0"/>
        <v>-1.279103982238067</v>
      </c>
      <c r="C21">
        <f t="shared" si="1"/>
        <v>8.4745762711864403E-2</v>
      </c>
    </row>
    <row r="22" spans="1:3" x14ac:dyDescent="0.25">
      <c r="A22">
        <f>INDEX(Dati_grezzi!$A$2:$D$151,17,MATCH($B$3,Dati_grezzi!$A$1:$D$1,0))</f>
        <v>1.3</v>
      </c>
      <c r="B22">
        <f t="shared" si="0"/>
        <v>-1.3923992862449817</v>
      </c>
      <c r="C22">
        <f t="shared" si="1"/>
        <v>5.0847457627118647E-2</v>
      </c>
    </row>
    <row r="23" spans="1:3" x14ac:dyDescent="0.25">
      <c r="A23">
        <f>INDEX(Dati_grezzi!$A$2:$D$151,18,MATCH($B$3,Dati_grezzi!$A$1:$D$1,0))</f>
        <v>1.4</v>
      </c>
      <c r="B23">
        <f t="shared" si="0"/>
        <v>-1.3357516342415243</v>
      </c>
      <c r="C23">
        <f t="shared" si="1"/>
        <v>6.7796610169491511E-2</v>
      </c>
    </row>
    <row r="24" spans="1:3" x14ac:dyDescent="0.25">
      <c r="A24">
        <f>INDEX(Dati_grezzi!$A$2:$D$151,19,MATCH($B$3,Dati_grezzi!$A$1:$D$1,0))</f>
        <v>1.7</v>
      </c>
      <c r="B24">
        <f t="shared" si="0"/>
        <v>-1.1658086782311523</v>
      </c>
      <c r="C24">
        <f t="shared" si="1"/>
        <v>0.11864406779661016</v>
      </c>
    </row>
    <row r="25" spans="1:3" x14ac:dyDescent="0.25">
      <c r="A25">
        <f>INDEX(Dati_grezzi!$A$2:$D$151,20,MATCH($B$3,Dati_grezzi!$A$1:$D$1,0))</f>
        <v>1.5</v>
      </c>
      <c r="B25">
        <f t="shared" si="0"/>
        <v>-1.279103982238067</v>
      </c>
      <c r="C25">
        <f t="shared" si="1"/>
        <v>8.4745762711864403E-2</v>
      </c>
    </row>
    <row r="26" spans="1:3" x14ac:dyDescent="0.25">
      <c r="A26">
        <f>INDEX(Dati_grezzi!$A$2:$D$151,21,MATCH($B$3,Dati_grezzi!$A$1:$D$1,0))</f>
        <v>1.7</v>
      </c>
      <c r="B26">
        <f t="shared" si="0"/>
        <v>-1.1658086782311523</v>
      </c>
      <c r="C26">
        <f t="shared" si="1"/>
        <v>0.11864406779661016</v>
      </c>
    </row>
    <row r="27" spans="1:3" x14ac:dyDescent="0.25">
      <c r="A27">
        <f>INDEX(Dati_grezzi!$A$2:$D$151,22,MATCH($B$3,Dati_grezzi!$A$1:$D$1,0))</f>
        <v>1.5</v>
      </c>
      <c r="B27">
        <f t="shared" si="0"/>
        <v>-1.279103982238067</v>
      </c>
      <c r="C27">
        <f t="shared" si="1"/>
        <v>8.4745762711864403E-2</v>
      </c>
    </row>
    <row r="28" spans="1:3" x14ac:dyDescent="0.25">
      <c r="A28">
        <f>INDEX(Dati_grezzi!$A$2:$D$151,23,MATCH($B$3,Dati_grezzi!$A$1:$D$1,0))</f>
        <v>1</v>
      </c>
      <c r="B28">
        <f t="shared" si="0"/>
        <v>-1.5623422422553535</v>
      </c>
      <c r="C28">
        <f t="shared" si="1"/>
        <v>0</v>
      </c>
    </row>
    <row r="29" spans="1:3" x14ac:dyDescent="0.25">
      <c r="A29">
        <f>INDEX(Dati_grezzi!$A$2:$D$151,24,MATCH($B$3,Dati_grezzi!$A$1:$D$1,0))</f>
        <v>1.7</v>
      </c>
      <c r="B29">
        <f t="shared" si="0"/>
        <v>-1.1658086782311523</v>
      </c>
      <c r="C29">
        <f t="shared" si="1"/>
        <v>0.11864406779661016</v>
      </c>
    </row>
    <row r="30" spans="1:3" x14ac:dyDescent="0.25">
      <c r="A30">
        <f>INDEX(Dati_grezzi!$A$2:$D$151,25,MATCH($B$3,Dati_grezzi!$A$1:$D$1,0))</f>
        <v>1.9</v>
      </c>
      <c r="B30">
        <f t="shared" si="0"/>
        <v>-1.0525133742242381</v>
      </c>
      <c r="C30">
        <f t="shared" si="1"/>
        <v>0.15254237288135591</v>
      </c>
    </row>
    <row r="31" spans="1:3" x14ac:dyDescent="0.25">
      <c r="A31">
        <f>INDEX(Dati_grezzi!$A$2:$D$151,26,MATCH($B$3,Dati_grezzi!$A$1:$D$1,0))</f>
        <v>1.6</v>
      </c>
      <c r="B31">
        <f t="shared" si="0"/>
        <v>-1.2224563302346096</v>
      </c>
      <c r="C31">
        <f t="shared" si="1"/>
        <v>0.10169491525423729</v>
      </c>
    </row>
    <row r="32" spans="1:3" x14ac:dyDescent="0.25">
      <c r="A32">
        <f>INDEX(Dati_grezzi!$A$2:$D$151,27,MATCH($B$3,Dati_grezzi!$A$1:$D$1,0))</f>
        <v>1.6</v>
      </c>
      <c r="B32">
        <f t="shared" si="0"/>
        <v>-1.2224563302346096</v>
      </c>
      <c r="C32">
        <f t="shared" si="1"/>
        <v>0.10169491525423729</v>
      </c>
    </row>
    <row r="33" spans="1:3" x14ac:dyDescent="0.25">
      <c r="A33">
        <f>INDEX(Dati_grezzi!$A$2:$D$151,28,MATCH($B$3,Dati_grezzi!$A$1:$D$1,0))</f>
        <v>1.5</v>
      </c>
      <c r="B33">
        <f t="shared" si="0"/>
        <v>-1.279103982238067</v>
      </c>
      <c r="C33">
        <f t="shared" si="1"/>
        <v>8.4745762711864403E-2</v>
      </c>
    </row>
    <row r="34" spans="1:3" x14ac:dyDescent="0.25">
      <c r="A34">
        <f>INDEX(Dati_grezzi!$A$2:$D$151,29,MATCH($B$3,Dati_grezzi!$A$1:$D$1,0))</f>
        <v>1.4</v>
      </c>
      <c r="B34">
        <f t="shared" si="0"/>
        <v>-1.3357516342415243</v>
      </c>
      <c r="C34">
        <f t="shared" si="1"/>
        <v>6.7796610169491511E-2</v>
      </c>
    </row>
    <row r="35" spans="1:3" x14ac:dyDescent="0.25">
      <c r="A35">
        <f>INDEX(Dati_grezzi!$A$2:$D$151,30,MATCH($B$3,Dati_grezzi!$A$1:$D$1,0))</f>
        <v>1.6</v>
      </c>
      <c r="B35">
        <f t="shared" si="0"/>
        <v>-1.2224563302346096</v>
      </c>
      <c r="C35">
        <f t="shared" si="1"/>
        <v>0.10169491525423729</v>
      </c>
    </row>
    <row r="36" spans="1:3" x14ac:dyDescent="0.25">
      <c r="A36">
        <f>INDEX(Dati_grezzi!$A$2:$D$151,31,MATCH($B$3,Dati_grezzi!$A$1:$D$1,0))</f>
        <v>1.6</v>
      </c>
      <c r="B36">
        <f t="shared" si="0"/>
        <v>-1.2224563302346096</v>
      </c>
      <c r="C36">
        <f t="shared" si="1"/>
        <v>0.10169491525423729</v>
      </c>
    </row>
    <row r="37" spans="1:3" x14ac:dyDescent="0.25">
      <c r="A37">
        <f>INDEX(Dati_grezzi!$A$2:$D$151,32,MATCH($B$3,Dati_grezzi!$A$1:$D$1,0))</f>
        <v>1.5</v>
      </c>
      <c r="B37">
        <f t="shared" si="0"/>
        <v>-1.279103982238067</v>
      </c>
      <c r="C37">
        <f t="shared" si="1"/>
        <v>8.4745762711864403E-2</v>
      </c>
    </row>
    <row r="38" spans="1:3" x14ac:dyDescent="0.25">
      <c r="A38">
        <f>INDEX(Dati_grezzi!$A$2:$D$151,33,MATCH($B$3,Dati_grezzi!$A$1:$D$1,0))</f>
        <v>1.5</v>
      </c>
      <c r="B38">
        <f t="shared" ref="B38:B69" si="2">(A38-$E$6)/$F$6</f>
        <v>-1.279103982238067</v>
      </c>
      <c r="C38">
        <f t="shared" ref="C38:C69" si="3">(A38-$G$6)/($H$6-$G$6)</f>
        <v>8.4745762711864403E-2</v>
      </c>
    </row>
    <row r="39" spans="1:3" x14ac:dyDescent="0.25">
      <c r="A39">
        <f>INDEX(Dati_grezzi!$A$2:$D$151,34,MATCH($B$3,Dati_grezzi!$A$1:$D$1,0))</f>
        <v>1.4</v>
      </c>
      <c r="B39">
        <f t="shared" si="2"/>
        <v>-1.3357516342415243</v>
      </c>
      <c r="C39">
        <f t="shared" si="3"/>
        <v>6.7796610169491511E-2</v>
      </c>
    </row>
    <row r="40" spans="1:3" x14ac:dyDescent="0.25">
      <c r="A40">
        <f>INDEX(Dati_grezzi!$A$2:$D$151,35,MATCH($B$3,Dati_grezzi!$A$1:$D$1,0))</f>
        <v>1.5</v>
      </c>
      <c r="B40">
        <f t="shared" si="2"/>
        <v>-1.279103982238067</v>
      </c>
      <c r="C40">
        <f t="shared" si="3"/>
        <v>8.4745762711864403E-2</v>
      </c>
    </row>
    <row r="41" spans="1:3" x14ac:dyDescent="0.25">
      <c r="A41">
        <f>INDEX(Dati_grezzi!$A$2:$D$151,36,MATCH($B$3,Dati_grezzi!$A$1:$D$1,0))</f>
        <v>1.2</v>
      </c>
      <c r="B41">
        <f t="shared" si="2"/>
        <v>-1.4490469382484388</v>
      </c>
      <c r="C41">
        <f t="shared" si="3"/>
        <v>3.3898305084745756E-2</v>
      </c>
    </row>
    <row r="42" spans="1:3" x14ac:dyDescent="0.25">
      <c r="A42">
        <f>INDEX(Dati_grezzi!$A$2:$D$151,37,MATCH($B$3,Dati_grezzi!$A$1:$D$1,0))</f>
        <v>1.3</v>
      </c>
      <c r="B42">
        <f t="shared" si="2"/>
        <v>-1.3923992862449817</v>
      </c>
      <c r="C42">
        <f t="shared" si="3"/>
        <v>5.0847457627118647E-2</v>
      </c>
    </row>
    <row r="43" spans="1:3" x14ac:dyDescent="0.25">
      <c r="A43">
        <f>INDEX(Dati_grezzi!$A$2:$D$151,38,MATCH($B$3,Dati_grezzi!$A$1:$D$1,0))</f>
        <v>1.4</v>
      </c>
      <c r="B43">
        <f t="shared" si="2"/>
        <v>-1.3357516342415243</v>
      </c>
      <c r="C43">
        <f t="shared" si="3"/>
        <v>6.7796610169491511E-2</v>
      </c>
    </row>
    <row r="44" spans="1:3" x14ac:dyDescent="0.25">
      <c r="A44">
        <f>INDEX(Dati_grezzi!$A$2:$D$151,39,MATCH($B$3,Dati_grezzi!$A$1:$D$1,0))</f>
        <v>1.3</v>
      </c>
      <c r="B44">
        <f t="shared" si="2"/>
        <v>-1.3923992862449817</v>
      </c>
      <c r="C44">
        <f t="shared" si="3"/>
        <v>5.0847457627118647E-2</v>
      </c>
    </row>
    <row r="45" spans="1:3" x14ac:dyDescent="0.25">
      <c r="A45">
        <f>INDEX(Dati_grezzi!$A$2:$D$151,40,MATCH($B$3,Dati_grezzi!$A$1:$D$1,0))</f>
        <v>1.5</v>
      </c>
      <c r="B45">
        <f t="shared" si="2"/>
        <v>-1.279103982238067</v>
      </c>
      <c r="C45">
        <f t="shared" si="3"/>
        <v>8.4745762711864403E-2</v>
      </c>
    </row>
    <row r="46" spans="1:3" x14ac:dyDescent="0.25">
      <c r="A46">
        <f>INDEX(Dati_grezzi!$A$2:$D$151,41,MATCH($B$3,Dati_grezzi!$A$1:$D$1,0))</f>
        <v>1.3</v>
      </c>
      <c r="B46">
        <f t="shared" si="2"/>
        <v>-1.3923992862449817</v>
      </c>
      <c r="C46">
        <f t="shared" si="3"/>
        <v>5.0847457627118647E-2</v>
      </c>
    </row>
    <row r="47" spans="1:3" x14ac:dyDescent="0.25">
      <c r="A47">
        <f>INDEX(Dati_grezzi!$A$2:$D$151,42,MATCH($B$3,Dati_grezzi!$A$1:$D$1,0))</f>
        <v>1.3</v>
      </c>
      <c r="B47">
        <f t="shared" si="2"/>
        <v>-1.3923992862449817</v>
      </c>
      <c r="C47">
        <f t="shared" si="3"/>
        <v>5.0847457627118647E-2</v>
      </c>
    </row>
    <row r="48" spans="1:3" x14ac:dyDescent="0.25">
      <c r="A48">
        <f>INDEX(Dati_grezzi!$A$2:$D$151,43,MATCH($B$3,Dati_grezzi!$A$1:$D$1,0))</f>
        <v>1.3</v>
      </c>
      <c r="B48">
        <f t="shared" si="2"/>
        <v>-1.3923992862449817</v>
      </c>
      <c r="C48">
        <f t="shared" si="3"/>
        <v>5.0847457627118647E-2</v>
      </c>
    </row>
    <row r="49" spans="1:3" x14ac:dyDescent="0.25">
      <c r="A49">
        <f>INDEX(Dati_grezzi!$A$2:$D$151,44,MATCH($B$3,Dati_grezzi!$A$1:$D$1,0))</f>
        <v>1.6</v>
      </c>
      <c r="B49">
        <f t="shared" si="2"/>
        <v>-1.2224563302346096</v>
      </c>
      <c r="C49">
        <f t="shared" si="3"/>
        <v>0.10169491525423729</v>
      </c>
    </row>
    <row r="50" spans="1:3" x14ac:dyDescent="0.25">
      <c r="A50">
        <f>INDEX(Dati_grezzi!$A$2:$D$151,45,MATCH($B$3,Dati_grezzi!$A$1:$D$1,0))</f>
        <v>1.9</v>
      </c>
      <c r="B50">
        <f t="shared" si="2"/>
        <v>-1.0525133742242381</v>
      </c>
      <c r="C50">
        <f t="shared" si="3"/>
        <v>0.15254237288135591</v>
      </c>
    </row>
    <row r="51" spans="1:3" x14ac:dyDescent="0.25">
      <c r="A51">
        <f>INDEX(Dati_grezzi!$A$2:$D$151,46,MATCH($B$3,Dati_grezzi!$A$1:$D$1,0))</f>
        <v>1.4</v>
      </c>
      <c r="B51">
        <f t="shared" si="2"/>
        <v>-1.3357516342415243</v>
      </c>
      <c r="C51">
        <f t="shared" si="3"/>
        <v>6.7796610169491511E-2</v>
      </c>
    </row>
    <row r="52" spans="1:3" x14ac:dyDescent="0.25">
      <c r="A52">
        <f>INDEX(Dati_grezzi!$A$2:$D$151,47,MATCH($B$3,Dati_grezzi!$A$1:$D$1,0))</f>
        <v>1.6</v>
      </c>
      <c r="B52">
        <f t="shared" si="2"/>
        <v>-1.2224563302346096</v>
      </c>
      <c r="C52">
        <f t="shared" si="3"/>
        <v>0.10169491525423729</v>
      </c>
    </row>
    <row r="53" spans="1:3" x14ac:dyDescent="0.25">
      <c r="A53">
        <f>INDEX(Dati_grezzi!$A$2:$D$151,48,MATCH($B$3,Dati_grezzi!$A$1:$D$1,0))</f>
        <v>1.4</v>
      </c>
      <c r="B53">
        <f t="shared" si="2"/>
        <v>-1.3357516342415243</v>
      </c>
      <c r="C53">
        <f t="shared" si="3"/>
        <v>6.7796610169491511E-2</v>
      </c>
    </row>
    <row r="54" spans="1:3" x14ac:dyDescent="0.25">
      <c r="A54">
        <f>INDEX(Dati_grezzi!$A$2:$D$151,49,MATCH($B$3,Dati_grezzi!$A$1:$D$1,0))</f>
        <v>1.5</v>
      </c>
      <c r="B54">
        <f t="shared" si="2"/>
        <v>-1.279103982238067</v>
      </c>
      <c r="C54">
        <f t="shared" si="3"/>
        <v>8.4745762711864403E-2</v>
      </c>
    </row>
    <row r="55" spans="1:3" x14ac:dyDescent="0.25">
      <c r="A55">
        <f>INDEX(Dati_grezzi!$A$2:$D$151,50,MATCH($B$3,Dati_grezzi!$A$1:$D$1,0))</f>
        <v>1.4</v>
      </c>
      <c r="B55">
        <f t="shared" si="2"/>
        <v>-1.3357516342415243</v>
      </c>
      <c r="C55">
        <f t="shared" si="3"/>
        <v>6.7796610169491511E-2</v>
      </c>
    </row>
    <row r="56" spans="1:3" x14ac:dyDescent="0.25">
      <c r="A56">
        <f>INDEX(Dati_grezzi!$A$2:$D$151,51,MATCH($B$3,Dati_grezzi!$A$1:$D$1,0))</f>
        <v>4.7</v>
      </c>
      <c r="B56">
        <f t="shared" si="2"/>
        <v>0.53362088187256629</v>
      </c>
      <c r="C56">
        <f t="shared" si="3"/>
        <v>0.6271186440677966</v>
      </c>
    </row>
    <row r="57" spans="1:3" x14ac:dyDescent="0.25">
      <c r="A57">
        <f>INDEX(Dati_grezzi!$A$2:$D$151,52,MATCH($B$3,Dati_grezzi!$A$1:$D$1,0))</f>
        <v>4.5</v>
      </c>
      <c r="B57">
        <f t="shared" si="2"/>
        <v>0.42032557786565156</v>
      </c>
      <c r="C57">
        <f t="shared" si="3"/>
        <v>0.59322033898305082</v>
      </c>
    </row>
    <row r="58" spans="1:3" x14ac:dyDescent="0.25">
      <c r="A58">
        <f>INDEX(Dati_grezzi!$A$2:$D$151,53,MATCH($B$3,Dati_grezzi!$A$1:$D$1,0))</f>
        <v>4.9000000000000004</v>
      </c>
      <c r="B58">
        <f t="shared" si="2"/>
        <v>0.64691618587948096</v>
      </c>
      <c r="C58">
        <f t="shared" si="3"/>
        <v>0.66101694915254239</v>
      </c>
    </row>
    <row r="59" spans="1:3" x14ac:dyDescent="0.25">
      <c r="A59">
        <f>INDEX(Dati_grezzi!$A$2:$D$151,54,MATCH($B$3,Dati_grezzi!$A$1:$D$1,0))</f>
        <v>4</v>
      </c>
      <c r="B59">
        <f t="shared" si="2"/>
        <v>0.13708731784836511</v>
      </c>
      <c r="C59">
        <f t="shared" si="3"/>
        <v>0.50847457627118642</v>
      </c>
    </row>
    <row r="60" spans="1:3" x14ac:dyDescent="0.25">
      <c r="A60">
        <f>INDEX(Dati_grezzi!$A$2:$D$151,55,MATCH($B$3,Dati_grezzi!$A$1:$D$1,0))</f>
        <v>4.5999999999999996</v>
      </c>
      <c r="B60">
        <f t="shared" si="2"/>
        <v>0.47697322986910867</v>
      </c>
      <c r="C60">
        <f t="shared" si="3"/>
        <v>0.61016949152542366</v>
      </c>
    </row>
    <row r="61" spans="1:3" x14ac:dyDescent="0.25">
      <c r="A61">
        <f>INDEX(Dati_grezzi!$A$2:$D$151,56,MATCH($B$3,Dati_grezzi!$A$1:$D$1,0))</f>
        <v>4.5</v>
      </c>
      <c r="B61">
        <f t="shared" si="2"/>
        <v>0.42032557786565156</v>
      </c>
      <c r="C61">
        <f t="shared" si="3"/>
        <v>0.59322033898305082</v>
      </c>
    </row>
    <row r="62" spans="1:3" x14ac:dyDescent="0.25">
      <c r="A62">
        <f>INDEX(Dati_grezzi!$A$2:$D$151,57,MATCH($B$3,Dati_grezzi!$A$1:$D$1,0))</f>
        <v>4.7</v>
      </c>
      <c r="B62">
        <f t="shared" si="2"/>
        <v>0.53362088187256629</v>
      </c>
      <c r="C62">
        <f t="shared" si="3"/>
        <v>0.6271186440677966</v>
      </c>
    </row>
    <row r="63" spans="1:3" x14ac:dyDescent="0.25">
      <c r="A63">
        <f>INDEX(Dati_grezzi!$A$2:$D$151,58,MATCH($B$3,Dati_grezzi!$A$1:$D$1,0))</f>
        <v>3.3</v>
      </c>
      <c r="B63">
        <f t="shared" si="2"/>
        <v>-0.259446246175836</v>
      </c>
      <c r="C63">
        <f t="shared" si="3"/>
        <v>0.38983050847457623</v>
      </c>
    </row>
    <row r="64" spans="1:3" x14ac:dyDescent="0.25">
      <c r="A64">
        <f>INDEX(Dati_grezzi!$A$2:$D$151,59,MATCH($B$3,Dati_grezzi!$A$1:$D$1,0))</f>
        <v>4.5999999999999996</v>
      </c>
      <c r="B64">
        <f t="shared" si="2"/>
        <v>0.47697322986910867</v>
      </c>
      <c r="C64">
        <f t="shared" si="3"/>
        <v>0.61016949152542366</v>
      </c>
    </row>
    <row r="65" spans="1:3" x14ac:dyDescent="0.25">
      <c r="A65">
        <f>INDEX(Dati_grezzi!$A$2:$D$151,60,MATCH($B$3,Dati_grezzi!$A$1:$D$1,0))</f>
        <v>3.9</v>
      </c>
      <c r="B65">
        <f t="shared" si="2"/>
        <v>8.043966584490779E-2</v>
      </c>
      <c r="C65">
        <f t="shared" si="3"/>
        <v>0.49152542372881353</v>
      </c>
    </row>
    <row r="66" spans="1:3" x14ac:dyDescent="0.25">
      <c r="A66">
        <f>INDEX(Dati_grezzi!$A$2:$D$151,61,MATCH($B$3,Dati_grezzi!$A$1:$D$1,0))</f>
        <v>3.5</v>
      </c>
      <c r="B66">
        <f t="shared" si="2"/>
        <v>-0.14615094216892133</v>
      </c>
      <c r="C66">
        <f t="shared" si="3"/>
        <v>0.42372881355932202</v>
      </c>
    </row>
    <row r="67" spans="1:3" x14ac:dyDescent="0.25">
      <c r="A67">
        <f>INDEX(Dati_grezzi!$A$2:$D$151,62,MATCH($B$3,Dati_grezzi!$A$1:$D$1,0))</f>
        <v>4.2</v>
      </c>
      <c r="B67">
        <f t="shared" si="2"/>
        <v>0.25038262185527982</v>
      </c>
      <c r="C67">
        <f t="shared" si="3"/>
        <v>0.5423728813559322</v>
      </c>
    </row>
    <row r="68" spans="1:3" x14ac:dyDescent="0.25">
      <c r="A68">
        <f>INDEX(Dati_grezzi!$A$2:$D$151,63,MATCH($B$3,Dati_grezzi!$A$1:$D$1,0))</f>
        <v>4</v>
      </c>
      <c r="B68">
        <f t="shared" si="2"/>
        <v>0.13708731784836511</v>
      </c>
      <c r="C68">
        <f t="shared" si="3"/>
        <v>0.50847457627118642</v>
      </c>
    </row>
    <row r="69" spans="1:3" x14ac:dyDescent="0.25">
      <c r="A69">
        <f>INDEX(Dati_grezzi!$A$2:$D$151,64,MATCH($B$3,Dati_grezzi!$A$1:$D$1,0))</f>
        <v>4.7</v>
      </c>
      <c r="B69">
        <f t="shared" si="2"/>
        <v>0.53362088187256629</v>
      </c>
      <c r="C69">
        <f t="shared" si="3"/>
        <v>0.6271186440677966</v>
      </c>
    </row>
    <row r="70" spans="1:3" x14ac:dyDescent="0.25">
      <c r="A70">
        <f>INDEX(Dati_grezzi!$A$2:$D$151,65,MATCH($B$3,Dati_grezzi!$A$1:$D$1,0))</f>
        <v>3.6</v>
      </c>
      <c r="B70">
        <f t="shared" ref="B70:B101" si="4">(A70-$E$6)/$F$6</f>
        <v>-8.9503290165463975E-2</v>
      </c>
      <c r="C70">
        <f t="shared" ref="C70:C101" si="5">(A70-$G$6)/($H$6-$G$6)</f>
        <v>0.44067796610169491</v>
      </c>
    </row>
    <row r="71" spans="1:3" x14ac:dyDescent="0.25">
      <c r="A71">
        <f>INDEX(Dati_grezzi!$A$2:$D$151,66,MATCH($B$3,Dati_grezzi!$A$1:$D$1,0))</f>
        <v>4.4000000000000004</v>
      </c>
      <c r="B71">
        <f t="shared" si="4"/>
        <v>0.3636779258621945</v>
      </c>
      <c r="C71">
        <f t="shared" si="5"/>
        <v>0.57627118644067798</v>
      </c>
    </row>
    <row r="72" spans="1:3" x14ac:dyDescent="0.25">
      <c r="A72">
        <f>INDEX(Dati_grezzi!$A$2:$D$151,67,MATCH($B$3,Dati_grezzi!$A$1:$D$1,0))</f>
        <v>4.5</v>
      </c>
      <c r="B72">
        <f t="shared" si="4"/>
        <v>0.42032557786565156</v>
      </c>
      <c r="C72">
        <f t="shared" si="5"/>
        <v>0.59322033898305082</v>
      </c>
    </row>
    <row r="73" spans="1:3" x14ac:dyDescent="0.25">
      <c r="A73">
        <f>INDEX(Dati_grezzi!$A$2:$D$151,68,MATCH($B$3,Dati_grezzi!$A$1:$D$1,0))</f>
        <v>4.0999999999999996</v>
      </c>
      <c r="B73">
        <f t="shared" si="4"/>
        <v>0.1937349698518222</v>
      </c>
      <c r="C73">
        <f t="shared" si="5"/>
        <v>0.52542372881355925</v>
      </c>
    </row>
    <row r="74" spans="1:3" x14ac:dyDescent="0.25">
      <c r="A74">
        <f>INDEX(Dati_grezzi!$A$2:$D$151,69,MATCH($B$3,Dati_grezzi!$A$1:$D$1,0))</f>
        <v>4.5</v>
      </c>
      <c r="B74">
        <f t="shared" si="4"/>
        <v>0.42032557786565156</v>
      </c>
      <c r="C74">
        <f t="shared" si="5"/>
        <v>0.59322033898305082</v>
      </c>
    </row>
    <row r="75" spans="1:3" x14ac:dyDescent="0.25">
      <c r="A75">
        <f>INDEX(Dati_grezzi!$A$2:$D$151,70,MATCH($B$3,Dati_grezzi!$A$1:$D$1,0))</f>
        <v>3.9</v>
      </c>
      <c r="B75">
        <f t="shared" si="4"/>
        <v>8.043966584490779E-2</v>
      </c>
      <c r="C75">
        <f t="shared" si="5"/>
        <v>0.49152542372881353</v>
      </c>
    </row>
    <row r="76" spans="1:3" x14ac:dyDescent="0.25">
      <c r="A76">
        <f>INDEX(Dati_grezzi!$A$2:$D$151,71,MATCH($B$3,Dati_grezzi!$A$1:$D$1,0))</f>
        <v>4.8</v>
      </c>
      <c r="B76">
        <f t="shared" si="4"/>
        <v>0.59026853387602329</v>
      </c>
      <c r="C76">
        <f t="shared" si="5"/>
        <v>0.64406779661016944</v>
      </c>
    </row>
    <row r="77" spans="1:3" x14ac:dyDescent="0.25">
      <c r="A77">
        <f>INDEX(Dati_grezzi!$A$2:$D$151,72,MATCH($B$3,Dati_grezzi!$A$1:$D$1,0))</f>
        <v>4</v>
      </c>
      <c r="B77">
        <f t="shared" si="4"/>
        <v>0.13708731784836511</v>
      </c>
      <c r="C77">
        <f t="shared" si="5"/>
        <v>0.50847457627118642</v>
      </c>
    </row>
    <row r="78" spans="1:3" x14ac:dyDescent="0.25">
      <c r="A78">
        <f>INDEX(Dati_grezzi!$A$2:$D$151,73,MATCH($B$3,Dati_grezzi!$A$1:$D$1,0))</f>
        <v>4.9000000000000004</v>
      </c>
      <c r="B78">
        <f t="shared" si="4"/>
        <v>0.64691618587948096</v>
      </c>
      <c r="C78">
        <f t="shared" si="5"/>
        <v>0.66101694915254239</v>
      </c>
    </row>
    <row r="79" spans="1:3" x14ac:dyDescent="0.25">
      <c r="A79">
        <f>INDEX(Dati_grezzi!$A$2:$D$151,74,MATCH($B$3,Dati_grezzi!$A$1:$D$1,0))</f>
        <v>4.7</v>
      </c>
      <c r="B79">
        <f t="shared" si="4"/>
        <v>0.53362088187256629</v>
      </c>
      <c r="C79">
        <f t="shared" si="5"/>
        <v>0.6271186440677966</v>
      </c>
    </row>
    <row r="80" spans="1:3" x14ac:dyDescent="0.25">
      <c r="A80">
        <f>INDEX(Dati_grezzi!$A$2:$D$151,75,MATCH($B$3,Dati_grezzi!$A$1:$D$1,0))</f>
        <v>4.3</v>
      </c>
      <c r="B80">
        <f t="shared" si="4"/>
        <v>0.30703027385873688</v>
      </c>
      <c r="C80">
        <f t="shared" si="5"/>
        <v>0.55932203389830504</v>
      </c>
    </row>
    <row r="81" spans="1:3" x14ac:dyDescent="0.25">
      <c r="A81">
        <f>INDEX(Dati_grezzi!$A$2:$D$151,76,MATCH($B$3,Dati_grezzi!$A$1:$D$1,0))</f>
        <v>4.4000000000000004</v>
      </c>
      <c r="B81">
        <f t="shared" si="4"/>
        <v>0.3636779258621945</v>
      </c>
      <c r="C81">
        <f t="shared" si="5"/>
        <v>0.57627118644067798</v>
      </c>
    </row>
    <row r="82" spans="1:3" x14ac:dyDescent="0.25">
      <c r="A82">
        <f>INDEX(Dati_grezzi!$A$2:$D$151,77,MATCH($B$3,Dati_grezzi!$A$1:$D$1,0))</f>
        <v>4.8</v>
      </c>
      <c r="B82">
        <f t="shared" si="4"/>
        <v>0.59026853387602329</v>
      </c>
      <c r="C82">
        <f t="shared" si="5"/>
        <v>0.64406779661016944</v>
      </c>
    </row>
    <row r="83" spans="1:3" x14ac:dyDescent="0.25">
      <c r="A83">
        <f>INDEX(Dati_grezzi!$A$2:$D$151,78,MATCH($B$3,Dati_grezzi!$A$1:$D$1,0))</f>
        <v>5</v>
      </c>
      <c r="B83">
        <f t="shared" si="4"/>
        <v>0.70356383788293797</v>
      </c>
      <c r="C83">
        <f t="shared" si="5"/>
        <v>0.67796610169491522</v>
      </c>
    </row>
    <row r="84" spans="1:3" x14ac:dyDescent="0.25">
      <c r="A84">
        <f>INDEX(Dati_grezzi!$A$2:$D$151,79,MATCH($B$3,Dati_grezzi!$A$1:$D$1,0))</f>
        <v>4.5</v>
      </c>
      <c r="B84">
        <f t="shared" si="4"/>
        <v>0.42032557786565156</v>
      </c>
      <c r="C84">
        <f t="shared" si="5"/>
        <v>0.59322033898305082</v>
      </c>
    </row>
    <row r="85" spans="1:3" x14ac:dyDescent="0.25">
      <c r="A85">
        <f>INDEX(Dati_grezzi!$A$2:$D$151,80,MATCH($B$3,Dati_grezzi!$A$1:$D$1,0))</f>
        <v>3.5</v>
      </c>
      <c r="B85">
        <f t="shared" si="4"/>
        <v>-0.14615094216892133</v>
      </c>
      <c r="C85">
        <f t="shared" si="5"/>
        <v>0.42372881355932202</v>
      </c>
    </row>
    <row r="86" spans="1:3" x14ac:dyDescent="0.25">
      <c r="A86">
        <f>INDEX(Dati_grezzi!$A$2:$D$151,81,MATCH($B$3,Dati_grezzi!$A$1:$D$1,0))</f>
        <v>3.8</v>
      </c>
      <c r="B86">
        <f t="shared" si="4"/>
        <v>2.3792013841450448E-2</v>
      </c>
      <c r="C86">
        <f t="shared" si="5"/>
        <v>0.47457627118644063</v>
      </c>
    </row>
    <row r="87" spans="1:3" x14ac:dyDescent="0.25">
      <c r="A87">
        <f>INDEX(Dati_grezzi!$A$2:$D$151,82,MATCH($B$3,Dati_grezzi!$A$1:$D$1,0))</f>
        <v>3.7</v>
      </c>
      <c r="B87">
        <f t="shared" si="4"/>
        <v>-3.2855638162006637E-2</v>
      </c>
      <c r="C87">
        <f t="shared" si="5"/>
        <v>0.4576271186440678</v>
      </c>
    </row>
    <row r="88" spans="1:3" x14ac:dyDescent="0.25">
      <c r="A88">
        <f>INDEX(Dati_grezzi!$A$2:$D$151,83,MATCH($B$3,Dati_grezzi!$A$1:$D$1,0))</f>
        <v>3.9</v>
      </c>
      <c r="B88">
        <f t="shared" si="4"/>
        <v>8.043966584490779E-2</v>
      </c>
      <c r="C88">
        <f t="shared" si="5"/>
        <v>0.49152542372881353</v>
      </c>
    </row>
    <row r="89" spans="1:3" x14ac:dyDescent="0.25">
      <c r="A89">
        <f>INDEX(Dati_grezzi!$A$2:$D$151,84,MATCH($B$3,Dati_grezzi!$A$1:$D$1,0))</f>
        <v>5.0999999999999996</v>
      </c>
      <c r="B89">
        <f t="shared" si="4"/>
        <v>0.76021148988639509</v>
      </c>
      <c r="C89">
        <f t="shared" si="5"/>
        <v>0.69491525423728806</v>
      </c>
    </row>
    <row r="90" spans="1:3" x14ac:dyDescent="0.25">
      <c r="A90">
        <f>INDEX(Dati_grezzi!$A$2:$D$151,85,MATCH($B$3,Dati_grezzi!$A$1:$D$1,0))</f>
        <v>4.5</v>
      </c>
      <c r="B90">
        <f t="shared" si="4"/>
        <v>0.42032557786565156</v>
      </c>
      <c r="C90">
        <f t="shared" si="5"/>
        <v>0.59322033898305082</v>
      </c>
    </row>
    <row r="91" spans="1:3" x14ac:dyDescent="0.25">
      <c r="A91">
        <f>INDEX(Dati_grezzi!$A$2:$D$151,86,MATCH($B$3,Dati_grezzi!$A$1:$D$1,0))</f>
        <v>4.5</v>
      </c>
      <c r="B91">
        <f t="shared" si="4"/>
        <v>0.42032557786565156</v>
      </c>
      <c r="C91">
        <f t="shared" si="5"/>
        <v>0.59322033898305082</v>
      </c>
    </row>
    <row r="92" spans="1:3" x14ac:dyDescent="0.25">
      <c r="A92">
        <f>INDEX(Dati_grezzi!$A$2:$D$151,87,MATCH($B$3,Dati_grezzi!$A$1:$D$1,0))</f>
        <v>4.7</v>
      </c>
      <c r="B92">
        <f t="shared" si="4"/>
        <v>0.53362088187256629</v>
      </c>
      <c r="C92">
        <f t="shared" si="5"/>
        <v>0.6271186440677966</v>
      </c>
    </row>
    <row r="93" spans="1:3" x14ac:dyDescent="0.25">
      <c r="A93">
        <f>INDEX(Dati_grezzi!$A$2:$D$151,88,MATCH($B$3,Dati_grezzi!$A$1:$D$1,0))</f>
        <v>4.4000000000000004</v>
      </c>
      <c r="B93">
        <f t="shared" si="4"/>
        <v>0.3636779258621945</v>
      </c>
      <c r="C93">
        <f t="shared" si="5"/>
        <v>0.57627118644067798</v>
      </c>
    </row>
    <row r="94" spans="1:3" x14ac:dyDescent="0.25">
      <c r="A94">
        <f>INDEX(Dati_grezzi!$A$2:$D$151,89,MATCH($B$3,Dati_grezzi!$A$1:$D$1,0))</f>
        <v>4.0999999999999996</v>
      </c>
      <c r="B94">
        <f t="shared" si="4"/>
        <v>0.1937349698518222</v>
      </c>
      <c r="C94">
        <f t="shared" si="5"/>
        <v>0.52542372881355925</v>
      </c>
    </row>
    <row r="95" spans="1:3" x14ac:dyDescent="0.25">
      <c r="A95">
        <f>INDEX(Dati_grezzi!$A$2:$D$151,90,MATCH($B$3,Dati_grezzi!$A$1:$D$1,0))</f>
        <v>4</v>
      </c>
      <c r="B95">
        <f t="shared" si="4"/>
        <v>0.13708731784836511</v>
      </c>
      <c r="C95">
        <f t="shared" si="5"/>
        <v>0.50847457627118642</v>
      </c>
    </row>
    <row r="96" spans="1:3" x14ac:dyDescent="0.25">
      <c r="A96">
        <f>INDEX(Dati_grezzi!$A$2:$D$151,91,MATCH($B$3,Dati_grezzi!$A$1:$D$1,0))</f>
        <v>4.4000000000000004</v>
      </c>
      <c r="B96">
        <f t="shared" si="4"/>
        <v>0.3636779258621945</v>
      </c>
      <c r="C96">
        <f t="shared" si="5"/>
        <v>0.57627118644067798</v>
      </c>
    </row>
    <row r="97" spans="1:3" x14ac:dyDescent="0.25">
      <c r="A97">
        <f>INDEX(Dati_grezzi!$A$2:$D$151,92,MATCH($B$3,Dati_grezzi!$A$1:$D$1,0))</f>
        <v>4.5999999999999996</v>
      </c>
      <c r="B97">
        <f t="shared" si="4"/>
        <v>0.47697322986910867</v>
      </c>
      <c r="C97">
        <f t="shared" si="5"/>
        <v>0.61016949152542366</v>
      </c>
    </row>
    <row r="98" spans="1:3" x14ac:dyDescent="0.25">
      <c r="A98">
        <f>INDEX(Dati_grezzi!$A$2:$D$151,93,MATCH($B$3,Dati_grezzi!$A$1:$D$1,0))</f>
        <v>4</v>
      </c>
      <c r="B98">
        <f t="shared" si="4"/>
        <v>0.13708731784836511</v>
      </c>
      <c r="C98">
        <f t="shared" si="5"/>
        <v>0.50847457627118642</v>
      </c>
    </row>
    <row r="99" spans="1:3" x14ac:dyDescent="0.25">
      <c r="A99">
        <f>INDEX(Dati_grezzi!$A$2:$D$151,94,MATCH($B$3,Dati_grezzi!$A$1:$D$1,0))</f>
        <v>3.3</v>
      </c>
      <c r="B99">
        <f t="shared" si="4"/>
        <v>-0.259446246175836</v>
      </c>
      <c r="C99">
        <f t="shared" si="5"/>
        <v>0.38983050847457623</v>
      </c>
    </row>
    <row r="100" spans="1:3" x14ac:dyDescent="0.25">
      <c r="A100">
        <f>INDEX(Dati_grezzi!$A$2:$D$151,95,MATCH($B$3,Dati_grezzi!$A$1:$D$1,0))</f>
        <v>4.2</v>
      </c>
      <c r="B100">
        <f t="shared" si="4"/>
        <v>0.25038262185527982</v>
      </c>
      <c r="C100">
        <f t="shared" si="5"/>
        <v>0.5423728813559322</v>
      </c>
    </row>
    <row r="101" spans="1:3" x14ac:dyDescent="0.25">
      <c r="A101">
        <f>INDEX(Dati_grezzi!$A$2:$D$151,96,MATCH($B$3,Dati_grezzi!$A$1:$D$1,0))</f>
        <v>4.2</v>
      </c>
      <c r="B101">
        <f t="shared" si="4"/>
        <v>0.25038262185527982</v>
      </c>
      <c r="C101">
        <f t="shared" si="5"/>
        <v>0.5423728813559322</v>
      </c>
    </row>
    <row r="102" spans="1:3" x14ac:dyDescent="0.25">
      <c r="A102">
        <f>INDEX(Dati_grezzi!$A$2:$D$151,97,MATCH($B$3,Dati_grezzi!$A$1:$D$1,0))</f>
        <v>4.2</v>
      </c>
      <c r="B102">
        <f t="shared" ref="B102:B133" si="6">(A102-$E$6)/$F$6</f>
        <v>0.25038262185527982</v>
      </c>
      <c r="C102">
        <f t="shared" ref="C102:C133" si="7">(A102-$G$6)/($H$6-$G$6)</f>
        <v>0.5423728813559322</v>
      </c>
    </row>
    <row r="103" spans="1:3" x14ac:dyDescent="0.25">
      <c r="A103">
        <f>INDEX(Dati_grezzi!$A$2:$D$151,98,MATCH($B$3,Dati_grezzi!$A$1:$D$1,0))</f>
        <v>4.3</v>
      </c>
      <c r="B103">
        <f t="shared" si="6"/>
        <v>0.30703027385873688</v>
      </c>
      <c r="C103">
        <f t="shared" si="7"/>
        <v>0.55932203389830504</v>
      </c>
    </row>
    <row r="104" spans="1:3" x14ac:dyDescent="0.25">
      <c r="A104">
        <f>INDEX(Dati_grezzi!$A$2:$D$151,99,MATCH($B$3,Dati_grezzi!$A$1:$D$1,0))</f>
        <v>3</v>
      </c>
      <c r="B104">
        <f t="shared" si="6"/>
        <v>-0.42938920218620774</v>
      </c>
      <c r="C104">
        <f t="shared" si="7"/>
        <v>0.33898305084745761</v>
      </c>
    </row>
    <row r="105" spans="1:3" x14ac:dyDescent="0.25">
      <c r="A105">
        <f>INDEX(Dati_grezzi!$A$2:$D$151,100,MATCH($B$3,Dati_grezzi!$A$1:$D$1,0))</f>
        <v>4.0999999999999996</v>
      </c>
      <c r="B105">
        <f t="shared" si="6"/>
        <v>0.1937349698518222</v>
      </c>
      <c r="C105">
        <f t="shared" si="7"/>
        <v>0.52542372881355925</v>
      </c>
    </row>
    <row r="106" spans="1:3" x14ac:dyDescent="0.25">
      <c r="A106">
        <f>INDEX(Dati_grezzi!$A$2:$D$151,101,MATCH($B$3,Dati_grezzi!$A$1:$D$1,0))</f>
        <v>6</v>
      </c>
      <c r="B106">
        <f t="shared" si="6"/>
        <v>1.2700403579175108</v>
      </c>
      <c r="C106">
        <f t="shared" si="7"/>
        <v>0.84745762711864403</v>
      </c>
    </row>
    <row r="107" spans="1:3" x14ac:dyDescent="0.25">
      <c r="A107">
        <f>INDEX(Dati_grezzi!$A$2:$D$151,102,MATCH($B$3,Dati_grezzi!$A$1:$D$1,0))</f>
        <v>5.0999999999999996</v>
      </c>
      <c r="B107">
        <f t="shared" si="6"/>
        <v>0.76021148988639509</v>
      </c>
      <c r="C107">
        <f t="shared" si="7"/>
        <v>0.69491525423728806</v>
      </c>
    </row>
    <row r="108" spans="1:3" x14ac:dyDescent="0.25">
      <c r="A108">
        <f>INDEX(Dati_grezzi!$A$2:$D$151,103,MATCH($B$3,Dati_grezzi!$A$1:$D$1,0))</f>
        <v>5.9</v>
      </c>
      <c r="B108">
        <f t="shared" si="6"/>
        <v>1.2133927059140539</v>
      </c>
      <c r="C108">
        <f t="shared" si="7"/>
        <v>0.83050847457627119</v>
      </c>
    </row>
    <row r="109" spans="1:3" x14ac:dyDescent="0.25">
      <c r="A109">
        <f>INDEX(Dati_grezzi!$A$2:$D$151,104,MATCH($B$3,Dati_grezzi!$A$1:$D$1,0))</f>
        <v>5.6</v>
      </c>
      <c r="B109">
        <f t="shared" si="6"/>
        <v>1.0434497499036814</v>
      </c>
      <c r="C109">
        <f t="shared" si="7"/>
        <v>0.77966101694915246</v>
      </c>
    </row>
    <row r="110" spans="1:3" x14ac:dyDescent="0.25">
      <c r="A110">
        <f>INDEX(Dati_grezzi!$A$2:$D$151,105,MATCH($B$3,Dati_grezzi!$A$1:$D$1,0))</f>
        <v>5.8</v>
      </c>
      <c r="B110">
        <f t="shared" si="6"/>
        <v>1.1567450539105961</v>
      </c>
      <c r="C110">
        <f t="shared" si="7"/>
        <v>0.81355932203389825</v>
      </c>
    </row>
    <row r="111" spans="1:3" x14ac:dyDescent="0.25">
      <c r="A111">
        <f>INDEX(Dati_grezzi!$A$2:$D$151,106,MATCH($B$3,Dati_grezzi!$A$1:$D$1,0))</f>
        <v>6.6</v>
      </c>
      <c r="B111">
        <f t="shared" si="6"/>
        <v>1.6099262699382544</v>
      </c>
      <c r="C111">
        <f t="shared" si="7"/>
        <v>0.94915254237288127</v>
      </c>
    </row>
    <row r="112" spans="1:3" x14ac:dyDescent="0.25">
      <c r="A112">
        <f>INDEX(Dati_grezzi!$A$2:$D$151,107,MATCH($B$3,Dati_grezzi!$A$1:$D$1,0))</f>
        <v>4.5</v>
      </c>
      <c r="B112">
        <f t="shared" si="6"/>
        <v>0.42032557786565156</v>
      </c>
      <c r="C112">
        <f t="shared" si="7"/>
        <v>0.59322033898305082</v>
      </c>
    </row>
    <row r="113" spans="1:3" x14ac:dyDescent="0.25">
      <c r="A113">
        <f>INDEX(Dati_grezzi!$A$2:$D$151,108,MATCH($B$3,Dati_grezzi!$A$1:$D$1,0))</f>
        <v>6.3</v>
      </c>
      <c r="B113">
        <f t="shared" si="6"/>
        <v>1.4399833139278826</v>
      </c>
      <c r="C113">
        <f t="shared" si="7"/>
        <v>0.89830508474576265</v>
      </c>
    </row>
    <row r="114" spans="1:3" x14ac:dyDescent="0.25">
      <c r="A114">
        <f>INDEX(Dati_grezzi!$A$2:$D$151,109,MATCH($B$3,Dati_grezzi!$A$1:$D$1,0))</f>
        <v>5.8</v>
      </c>
      <c r="B114">
        <f t="shared" si="6"/>
        <v>1.1567450539105961</v>
      </c>
      <c r="C114">
        <f t="shared" si="7"/>
        <v>0.81355932203389825</v>
      </c>
    </row>
    <row r="115" spans="1:3" x14ac:dyDescent="0.25">
      <c r="A115">
        <f>INDEX(Dati_grezzi!$A$2:$D$151,110,MATCH($B$3,Dati_grezzi!$A$1:$D$1,0))</f>
        <v>6.1</v>
      </c>
      <c r="B115">
        <f t="shared" si="6"/>
        <v>1.3266880099209679</v>
      </c>
      <c r="C115">
        <f t="shared" si="7"/>
        <v>0.86440677966101687</v>
      </c>
    </row>
    <row r="116" spans="1:3" x14ac:dyDescent="0.25">
      <c r="A116">
        <f>INDEX(Dati_grezzi!$A$2:$D$151,111,MATCH($B$3,Dati_grezzi!$A$1:$D$1,0))</f>
        <v>5.0999999999999996</v>
      </c>
      <c r="B116">
        <f t="shared" si="6"/>
        <v>0.76021148988639509</v>
      </c>
      <c r="C116">
        <f t="shared" si="7"/>
        <v>0.69491525423728806</v>
      </c>
    </row>
    <row r="117" spans="1:3" x14ac:dyDescent="0.25">
      <c r="A117">
        <f>INDEX(Dati_grezzi!$A$2:$D$151,112,MATCH($B$3,Dati_grezzi!$A$1:$D$1,0))</f>
        <v>5.3</v>
      </c>
      <c r="B117">
        <f t="shared" si="6"/>
        <v>0.87350679389330976</v>
      </c>
      <c r="C117">
        <f t="shared" si="7"/>
        <v>0.72881355932203384</v>
      </c>
    </row>
    <row r="118" spans="1:3" x14ac:dyDescent="0.25">
      <c r="A118">
        <f>INDEX(Dati_grezzi!$A$2:$D$151,113,MATCH($B$3,Dati_grezzi!$A$1:$D$1,0))</f>
        <v>5.5</v>
      </c>
      <c r="B118">
        <f t="shared" si="6"/>
        <v>0.98680209790022444</v>
      </c>
      <c r="C118">
        <f t="shared" si="7"/>
        <v>0.76271186440677963</v>
      </c>
    </row>
    <row r="119" spans="1:3" x14ac:dyDescent="0.25">
      <c r="A119">
        <f>INDEX(Dati_grezzi!$A$2:$D$151,114,MATCH($B$3,Dati_grezzi!$A$1:$D$1,0))</f>
        <v>5</v>
      </c>
      <c r="B119">
        <f t="shared" si="6"/>
        <v>0.70356383788293797</v>
      </c>
      <c r="C119">
        <f t="shared" si="7"/>
        <v>0.67796610169491522</v>
      </c>
    </row>
    <row r="120" spans="1:3" x14ac:dyDescent="0.25">
      <c r="A120">
        <f>INDEX(Dati_grezzi!$A$2:$D$151,115,MATCH($B$3,Dati_grezzi!$A$1:$D$1,0))</f>
        <v>5.0999999999999996</v>
      </c>
      <c r="B120">
        <f t="shared" si="6"/>
        <v>0.76021148988639509</v>
      </c>
      <c r="C120">
        <f t="shared" si="7"/>
        <v>0.69491525423728806</v>
      </c>
    </row>
    <row r="121" spans="1:3" x14ac:dyDescent="0.25">
      <c r="A121">
        <f>INDEX(Dati_grezzi!$A$2:$D$151,116,MATCH($B$3,Dati_grezzi!$A$1:$D$1,0))</f>
        <v>5.3</v>
      </c>
      <c r="B121">
        <f t="shared" si="6"/>
        <v>0.87350679389330976</v>
      </c>
      <c r="C121">
        <f t="shared" si="7"/>
        <v>0.72881355932203384</v>
      </c>
    </row>
    <row r="122" spans="1:3" x14ac:dyDescent="0.25">
      <c r="A122">
        <f>INDEX(Dati_grezzi!$A$2:$D$151,117,MATCH($B$3,Dati_grezzi!$A$1:$D$1,0))</f>
        <v>5.5</v>
      </c>
      <c r="B122">
        <f t="shared" si="6"/>
        <v>0.98680209790022444</v>
      </c>
      <c r="C122">
        <f t="shared" si="7"/>
        <v>0.76271186440677963</v>
      </c>
    </row>
    <row r="123" spans="1:3" x14ac:dyDescent="0.25">
      <c r="A123">
        <f>INDEX(Dati_grezzi!$A$2:$D$151,118,MATCH($B$3,Dati_grezzi!$A$1:$D$1,0))</f>
        <v>6.7</v>
      </c>
      <c r="B123">
        <f t="shared" si="6"/>
        <v>1.6665739219417119</v>
      </c>
      <c r="C123">
        <f t="shared" si="7"/>
        <v>0.96610169491525422</v>
      </c>
    </row>
    <row r="124" spans="1:3" x14ac:dyDescent="0.25">
      <c r="A124">
        <f>INDEX(Dati_grezzi!$A$2:$D$151,119,MATCH($B$3,Dati_grezzi!$A$1:$D$1,0))</f>
        <v>6.9</v>
      </c>
      <c r="B124">
        <f t="shared" si="6"/>
        <v>1.7798692259486266</v>
      </c>
      <c r="C124">
        <f t="shared" si="7"/>
        <v>1</v>
      </c>
    </row>
    <row r="125" spans="1:3" x14ac:dyDescent="0.25">
      <c r="A125">
        <f>INDEX(Dati_grezzi!$A$2:$D$151,120,MATCH($B$3,Dati_grezzi!$A$1:$D$1,0))</f>
        <v>5</v>
      </c>
      <c r="B125">
        <f t="shared" si="6"/>
        <v>0.70356383788293797</v>
      </c>
      <c r="C125">
        <f t="shared" si="7"/>
        <v>0.67796610169491522</v>
      </c>
    </row>
    <row r="126" spans="1:3" x14ac:dyDescent="0.25">
      <c r="A126">
        <f>INDEX(Dati_grezzi!$A$2:$D$151,121,MATCH($B$3,Dati_grezzi!$A$1:$D$1,0))</f>
        <v>5.7</v>
      </c>
      <c r="B126">
        <f t="shared" si="6"/>
        <v>1.1000974019071392</v>
      </c>
      <c r="C126">
        <f t="shared" si="7"/>
        <v>0.79661016949152541</v>
      </c>
    </row>
    <row r="127" spans="1:3" x14ac:dyDescent="0.25">
      <c r="A127">
        <f>INDEX(Dati_grezzi!$A$2:$D$151,122,MATCH($B$3,Dati_grezzi!$A$1:$D$1,0))</f>
        <v>4.9000000000000004</v>
      </c>
      <c r="B127">
        <f t="shared" si="6"/>
        <v>0.64691618587948096</v>
      </c>
      <c r="C127">
        <f t="shared" si="7"/>
        <v>0.66101694915254239</v>
      </c>
    </row>
    <row r="128" spans="1:3" x14ac:dyDescent="0.25">
      <c r="A128">
        <f>INDEX(Dati_grezzi!$A$2:$D$151,123,MATCH($B$3,Dati_grezzi!$A$1:$D$1,0))</f>
        <v>6.7</v>
      </c>
      <c r="B128">
        <f t="shared" si="6"/>
        <v>1.6665739219417119</v>
      </c>
      <c r="C128">
        <f t="shared" si="7"/>
        <v>0.96610169491525422</v>
      </c>
    </row>
    <row r="129" spans="1:3" x14ac:dyDescent="0.25">
      <c r="A129">
        <f>INDEX(Dati_grezzi!$A$2:$D$151,124,MATCH($B$3,Dati_grezzi!$A$1:$D$1,0))</f>
        <v>4.9000000000000004</v>
      </c>
      <c r="B129">
        <f t="shared" si="6"/>
        <v>0.64691618587948096</v>
      </c>
      <c r="C129">
        <f t="shared" si="7"/>
        <v>0.66101694915254239</v>
      </c>
    </row>
    <row r="130" spans="1:3" x14ac:dyDescent="0.25">
      <c r="A130">
        <f>INDEX(Dati_grezzi!$A$2:$D$151,125,MATCH($B$3,Dati_grezzi!$A$1:$D$1,0))</f>
        <v>5.7</v>
      </c>
      <c r="B130">
        <f t="shared" si="6"/>
        <v>1.1000974019071392</v>
      </c>
      <c r="C130">
        <f t="shared" si="7"/>
        <v>0.79661016949152541</v>
      </c>
    </row>
    <row r="131" spans="1:3" x14ac:dyDescent="0.25">
      <c r="A131">
        <f>INDEX(Dati_grezzi!$A$2:$D$151,126,MATCH($B$3,Dati_grezzi!$A$1:$D$1,0))</f>
        <v>6</v>
      </c>
      <c r="B131">
        <f t="shared" si="6"/>
        <v>1.2700403579175108</v>
      </c>
      <c r="C131">
        <f t="shared" si="7"/>
        <v>0.84745762711864403</v>
      </c>
    </row>
    <row r="132" spans="1:3" x14ac:dyDescent="0.25">
      <c r="A132">
        <f>INDEX(Dati_grezzi!$A$2:$D$151,127,MATCH($B$3,Dati_grezzi!$A$1:$D$1,0))</f>
        <v>4.8</v>
      </c>
      <c r="B132">
        <f t="shared" si="6"/>
        <v>0.59026853387602329</v>
      </c>
      <c r="C132">
        <f t="shared" si="7"/>
        <v>0.64406779661016944</v>
      </c>
    </row>
    <row r="133" spans="1:3" x14ac:dyDescent="0.25">
      <c r="A133">
        <f>INDEX(Dati_grezzi!$A$2:$D$151,128,MATCH($B$3,Dati_grezzi!$A$1:$D$1,0))</f>
        <v>4.9000000000000004</v>
      </c>
      <c r="B133">
        <f t="shared" si="6"/>
        <v>0.64691618587948096</v>
      </c>
      <c r="C133">
        <f t="shared" si="7"/>
        <v>0.66101694915254239</v>
      </c>
    </row>
    <row r="134" spans="1:3" x14ac:dyDescent="0.25">
      <c r="A134">
        <f>INDEX(Dati_grezzi!$A$2:$D$151,129,MATCH($B$3,Dati_grezzi!$A$1:$D$1,0))</f>
        <v>5.6</v>
      </c>
      <c r="B134">
        <f t="shared" ref="B134:B155" si="8">(A134-$E$6)/$F$6</f>
        <v>1.0434497499036814</v>
      </c>
      <c r="C134">
        <f t="shared" ref="C134:C155" si="9">(A134-$G$6)/($H$6-$G$6)</f>
        <v>0.77966101694915246</v>
      </c>
    </row>
    <row r="135" spans="1:3" x14ac:dyDescent="0.25">
      <c r="A135">
        <f>INDEX(Dati_grezzi!$A$2:$D$151,130,MATCH($B$3,Dati_grezzi!$A$1:$D$1,0))</f>
        <v>5.8</v>
      </c>
      <c r="B135">
        <f t="shared" si="8"/>
        <v>1.1567450539105961</v>
      </c>
      <c r="C135">
        <f t="shared" si="9"/>
        <v>0.81355932203389825</v>
      </c>
    </row>
    <row r="136" spans="1:3" x14ac:dyDescent="0.25">
      <c r="A136">
        <f>INDEX(Dati_grezzi!$A$2:$D$151,131,MATCH($B$3,Dati_grezzi!$A$1:$D$1,0))</f>
        <v>6.1</v>
      </c>
      <c r="B136">
        <f t="shared" si="8"/>
        <v>1.3266880099209679</v>
      </c>
      <c r="C136">
        <f t="shared" si="9"/>
        <v>0.86440677966101687</v>
      </c>
    </row>
    <row r="137" spans="1:3" x14ac:dyDescent="0.25">
      <c r="A137">
        <f>INDEX(Dati_grezzi!$A$2:$D$151,132,MATCH($B$3,Dati_grezzi!$A$1:$D$1,0))</f>
        <v>6.4</v>
      </c>
      <c r="B137">
        <f t="shared" si="8"/>
        <v>1.4966309659313402</v>
      </c>
      <c r="C137">
        <f t="shared" si="9"/>
        <v>0.9152542372881356</v>
      </c>
    </row>
    <row r="138" spans="1:3" x14ac:dyDescent="0.25">
      <c r="A138">
        <f>INDEX(Dati_grezzi!$A$2:$D$151,133,MATCH($B$3,Dati_grezzi!$A$1:$D$1,0))</f>
        <v>5.6</v>
      </c>
      <c r="B138">
        <f t="shared" si="8"/>
        <v>1.0434497499036814</v>
      </c>
      <c r="C138">
        <f t="shared" si="9"/>
        <v>0.77966101694915246</v>
      </c>
    </row>
    <row r="139" spans="1:3" x14ac:dyDescent="0.25">
      <c r="A139">
        <f>INDEX(Dati_grezzi!$A$2:$D$151,134,MATCH($B$3,Dati_grezzi!$A$1:$D$1,0))</f>
        <v>5.0999999999999996</v>
      </c>
      <c r="B139">
        <f t="shared" si="8"/>
        <v>0.76021148988639509</v>
      </c>
      <c r="C139">
        <f t="shared" si="9"/>
        <v>0.69491525423728806</v>
      </c>
    </row>
    <row r="140" spans="1:3" x14ac:dyDescent="0.25">
      <c r="A140">
        <f>INDEX(Dati_grezzi!$A$2:$D$151,135,MATCH($B$3,Dati_grezzi!$A$1:$D$1,0))</f>
        <v>5.6</v>
      </c>
      <c r="B140">
        <f t="shared" si="8"/>
        <v>1.0434497499036814</v>
      </c>
      <c r="C140">
        <f t="shared" si="9"/>
        <v>0.77966101694915246</v>
      </c>
    </row>
    <row r="141" spans="1:3" x14ac:dyDescent="0.25">
      <c r="A141">
        <f>INDEX(Dati_grezzi!$A$2:$D$151,136,MATCH($B$3,Dati_grezzi!$A$1:$D$1,0))</f>
        <v>6.1</v>
      </c>
      <c r="B141">
        <f t="shared" si="8"/>
        <v>1.3266880099209679</v>
      </c>
      <c r="C141">
        <f t="shared" si="9"/>
        <v>0.86440677966101687</v>
      </c>
    </row>
    <row r="142" spans="1:3" x14ac:dyDescent="0.25">
      <c r="A142">
        <f>INDEX(Dati_grezzi!$A$2:$D$151,137,MATCH($B$3,Dati_grezzi!$A$1:$D$1,0))</f>
        <v>5.6</v>
      </c>
      <c r="B142">
        <f t="shared" si="8"/>
        <v>1.0434497499036814</v>
      </c>
      <c r="C142">
        <f t="shared" si="9"/>
        <v>0.77966101694915246</v>
      </c>
    </row>
    <row r="143" spans="1:3" x14ac:dyDescent="0.25">
      <c r="A143">
        <f>INDEX(Dati_grezzi!$A$2:$D$151,138,MATCH($B$3,Dati_grezzi!$A$1:$D$1,0))</f>
        <v>5.5</v>
      </c>
      <c r="B143">
        <f t="shared" si="8"/>
        <v>0.98680209790022444</v>
      </c>
      <c r="C143">
        <f t="shared" si="9"/>
        <v>0.76271186440677963</v>
      </c>
    </row>
    <row r="144" spans="1:3" x14ac:dyDescent="0.25">
      <c r="A144">
        <f>INDEX(Dati_grezzi!$A$2:$D$151,139,MATCH($B$3,Dati_grezzi!$A$1:$D$1,0))</f>
        <v>4.8</v>
      </c>
      <c r="B144">
        <f t="shared" si="8"/>
        <v>0.59026853387602329</v>
      </c>
      <c r="C144">
        <f t="shared" si="9"/>
        <v>0.64406779661016944</v>
      </c>
    </row>
    <row r="145" spans="1:3" x14ac:dyDescent="0.25">
      <c r="A145">
        <f>INDEX(Dati_grezzi!$A$2:$D$151,140,MATCH($B$3,Dati_grezzi!$A$1:$D$1,0))</f>
        <v>5.4</v>
      </c>
      <c r="B145">
        <f t="shared" si="8"/>
        <v>0.93015444589676732</v>
      </c>
      <c r="C145">
        <f t="shared" si="9"/>
        <v>0.74576271186440679</v>
      </c>
    </row>
    <row r="146" spans="1:3" x14ac:dyDescent="0.25">
      <c r="A146">
        <f>INDEX(Dati_grezzi!$A$2:$D$151,141,MATCH($B$3,Dati_grezzi!$A$1:$D$1,0))</f>
        <v>5.6</v>
      </c>
      <c r="B146">
        <f t="shared" si="8"/>
        <v>1.0434497499036814</v>
      </c>
      <c r="C146">
        <f t="shared" si="9"/>
        <v>0.77966101694915246</v>
      </c>
    </row>
    <row r="147" spans="1:3" x14ac:dyDescent="0.25">
      <c r="A147">
        <f>INDEX(Dati_grezzi!$A$2:$D$151,142,MATCH($B$3,Dati_grezzi!$A$1:$D$1,0))</f>
        <v>5.0999999999999996</v>
      </c>
      <c r="B147">
        <f t="shared" si="8"/>
        <v>0.76021148988639509</v>
      </c>
      <c r="C147">
        <f t="shared" si="9"/>
        <v>0.69491525423728806</v>
      </c>
    </row>
    <row r="148" spans="1:3" x14ac:dyDescent="0.25">
      <c r="A148">
        <f>INDEX(Dati_grezzi!$A$2:$D$151,143,MATCH($B$3,Dati_grezzi!$A$1:$D$1,0))</f>
        <v>5.0999999999999996</v>
      </c>
      <c r="B148">
        <f t="shared" si="8"/>
        <v>0.76021148988639509</v>
      </c>
      <c r="C148">
        <f t="shared" si="9"/>
        <v>0.69491525423728806</v>
      </c>
    </row>
    <row r="149" spans="1:3" x14ac:dyDescent="0.25">
      <c r="A149">
        <f>INDEX(Dati_grezzi!$A$2:$D$151,144,MATCH($B$3,Dati_grezzi!$A$1:$D$1,0))</f>
        <v>5.9</v>
      </c>
      <c r="B149">
        <f t="shared" si="8"/>
        <v>1.2133927059140539</v>
      </c>
      <c r="C149">
        <f t="shared" si="9"/>
        <v>0.83050847457627119</v>
      </c>
    </row>
    <row r="150" spans="1:3" x14ac:dyDescent="0.25">
      <c r="A150">
        <f>INDEX(Dati_grezzi!$A$2:$D$151,145,MATCH($B$3,Dati_grezzi!$A$1:$D$1,0))</f>
        <v>5.7</v>
      </c>
      <c r="B150">
        <f t="shared" si="8"/>
        <v>1.1000974019071392</v>
      </c>
      <c r="C150">
        <f t="shared" si="9"/>
        <v>0.79661016949152541</v>
      </c>
    </row>
    <row r="151" spans="1:3" x14ac:dyDescent="0.25">
      <c r="A151">
        <f>INDEX(Dati_grezzi!$A$2:$D$151,146,MATCH($B$3,Dati_grezzi!$A$1:$D$1,0))</f>
        <v>5.2</v>
      </c>
      <c r="B151">
        <f t="shared" si="8"/>
        <v>0.81685914188985265</v>
      </c>
      <c r="C151">
        <f t="shared" si="9"/>
        <v>0.71186440677966101</v>
      </c>
    </row>
    <row r="152" spans="1:3" x14ac:dyDescent="0.25">
      <c r="A152">
        <f>INDEX(Dati_grezzi!$A$2:$D$151,147,MATCH($B$3,Dati_grezzi!$A$1:$D$1,0))</f>
        <v>5</v>
      </c>
      <c r="B152">
        <f t="shared" si="8"/>
        <v>0.70356383788293797</v>
      </c>
      <c r="C152">
        <f t="shared" si="9"/>
        <v>0.67796610169491522</v>
      </c>
    </row>
    <row r="153" spans="1:3" x14ac:dyDescent="0.25">
      <c r="A153">
        <f>INDEX(Dati_grezzi!$A$2:$D$151,148,MATCH($B$3,Dati_grezzi!$A$1:$D$1,0))</f>
        <v>5.2</v>
      </c>
      <c r="B153">
        <f t="shared" si="8"/>
        <v>0.81685914188985265</v>
      </c>
      <c r="C153">
        <f t="shared" si="9"/>
        <v>0.71186440677966101</v>
      </c>
    </row>
    <row r="154" spans="1:3" x14ac:dyDescent="0.25">
      <c r="A154">
        <f>INDEX(Dati_grezzi!$A$2:$D$151,149,MATCH($B$3,Dati_grezzi!$A$1:$D$1,0))</f>
        <v>5.4</v>
      </c>
      <c r="B154">
        <f t="shared" si="8"/>
        <v>0.93015444589676732</v>
      </c>
      <c r="C154">
        <f t="shared" si="9"/>
        <v>0.74576271186440679</v>
      </c>
    </row>
    <row r="155" spans="1:3" x14ac:dyDescent="0.25">
      <c r="A155">
        <f>INDEX(Dati_grezzi!$A$2:$D$151,150,MATCH($B$3,Dati_grezzi!$A$1:$D$1,0))</f>
        <v>5.0999999999999996</v>
      </c>
      <c r="B155">
        <f t="shared" si="8"/>
        <v>0.76021148988639509</v>
      </c>
      <c r="C155">
        <f t="shared" si="9"/>
        <v>0.69491525423728806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54"/>
  <sheetViews>
    <sheetView topLeftCell="A6" workbookViewId="0">
      <selection activeCell="E6" sqref="E6"/>
    </sheetView>
  </sheetViews>
  <sheetFormatPr defaultRowHeight="15" x14ac:dyDescent="0.25"/>
  <cols>
    <col min="1" max="7" width="14" customWidth="1"/>
    <col min="8" max="8" width="17.7109375" customWidth="1"/>
    <col min="9" max="9" width="14" customWidth="1"/>
  </cols>
  <sheetData>
    <row r="1" spans="1:9" ht="18.75" x14ac:dyDescent="0.3">
      <c r="A1" s="1" t="s">
        <v>39</v>
      </c>
    </row>
    <row r="3" spans="1:9" x14ac:dyDescent="0.25">
      <c r="A3" s="2" t="s">
        <v>40</v>
      </c>
      <c r="B3" t="s">
        <v>9</v>
      </c>
    </row>
    <row r="4" spans="1:9" x14ac:dyDescent="0.25">
      <c r="A4" s="4" t="s">
        <v>41</v>
      </c>
      <c r="B4" s="4" t="s">
        <v>42</v>
      </c>
      <c r="C4" s="4" t="s">
        <v>43</v>
      </c>
      <c r="D4" s="4" t="s">
        <v>44</v>
      </c>
      <c r="E4" s="4" t="s">
        <v>45</v>
      </c>
      <c r="F4" s="4" t="s">
        <v>46</v>
      </c>
      <c r="G4" s="4" t="s">
        <v>47</v>
      </c>
      <c r="H4" s="4" t="s">
        <v>36</v>
      </c>
      <c r="I4" s="4" t="s">
        <v>48</v>
      </c>
    </row>
    <row r="5" spans="1:9" x14ac:dyDescent="0.25">
      <c r="A5">
        <f>INDEX(Dati_grezzi!$A$2:$D$151,1,MATCH($B$3,Dati_grezzi!$A$1:$D$1,0))</f>
        <v>5.0999999999999996</v>
      </c>
      <c r="B5">
        <f>_xlfn.SINGLE(_xlfn.QUARTILE.INC(INDEX(Dati_grezzi!$A$2:$D$151,0,MATCH($B$3,Dati_grezzi!$A$1:$D$1,0)),1))</f>
        <v>5.0999999999999996</v>
      </c>
      <c r="C5">
        <f>_xlfn.SINGLE(_xlfn.QUARTILE.INC(INDEX(Dati_grezzi!$A$2:$D$151,0,MATCH($B$3,Dati_grezzi!$A$1:$D$1,0)),3))</f>
        <v>6.4</v>
      </c>
      <c r="D5">
        <f>C5-B5</f>
        <v>1.3000000000000007</v>
      </c>
      <c r="E5">
        <f>B5-1.5*D5</f>
        <v>3.1499999999999986</v>
      </c>
      <c r="F5">
        <f>C5+1.5*D5</f>
        <v>8.3500000000000014</v>
      </c>
      <c r="G5" t="str">
        <f>IF(OR(A5&lt;$E$5,A5&gt;$F$5),"YES","NO")</f>
        <v>NO</v>
      </c>
      <c r="H5">
        <f>(A5-AVERAGE(INDEX(Dati_grezzi!$A$2:$D$151,0,MATCH($B$3,Dati_grezzi!$A$1:$D$1,0))))/_xlfn.SINGLE(STDEV(INDEX(Dati_grezzi!$A$2:$D$151,0,MATCH($B$3,Dati_grezzi!$A$1:$D$1,0))))</f>
        <v>-0.89767387919678832</v>
      </c>
      <c r="I5" t="str">
        <f t="shared" ref="I5:I36" si="0">IF(ABS(H5)&gt;3,"YES","NO")</f>
        <v>NO</v>
      </c>
    </row>
    <row r="6" spans="1:9" x14ac:dyDescent="0.25">
      <c r="A6">
        <f>INDEX(Dati_grezzi!$A$2:$D$151,2,MATCH($B$3,Dati_grezzi!$A$1:$D$1,0))</f>
        <v>4.9000000000000004</v>
      </c>
      <c r="G6" t="str">
        <f t="shared" ref="G6:G36" si="1">IF(OR(A6&lt;$E$5,A6&gt;$F$5),"YES","NO")</f>
        <v>NO</v>
      </c>
      <c r="H6">
        <f>(A6-AVERAGE(INDEX(Dati_grezzi!$A$2:$D$151,0,MATCH($B$3,Dati_grezzi!$A$1:$D$1,0))))/_xlfn.SINGLE(STDEV(INDEX(Dati_grezzi!$A$2:$D$151,0,MATCH($B$3,Dati_grezzi!$A$1:$D$1,0))))</f>
        <v>-1.1392004834649812</v>
      </c>
      <c r="I6" t="str">
        <f t="shared" si="0"/>
        <v>NO</v>
      </c>
    </row>
    <row r="7" spans="1:9" x14ac:dyDescent="0.25">
      <c r="A7">
        <f>INDEX(Dati_grezzi!$A$2:$D$151,3,MATCH($B$3,Dati_grezzi!$A$1:$D$1,0))</f>
        <v>4.7</v>
      </c>
      <c r="G7" t="str">
        <f t="shared" si="1"/>
        <v>NO</v>
      </c>
      <c r="H7">
        <f>(A7-AVERAGE(INDEX(Dati_grezzi!$A$2:$D$151,0,MATCH($B$3,Dati_grezzi!$A$1:$D$1,0))))/_xlfn.SINGLE(STDEV(INDEX(Dati_grezzi!$A$2:$D$151,0,MATCH($B$3,Dati_grezzi!$A$1:$D$1,0))))</f>
        <v>-1.380727087733175</v>
      </c>
      <c r="I7" t="str">
        <f t="shared" si="0"/>
        <v>NO</v>
      </c>
    </row>
    <row r="8" spans="1:9" x14ac:dyDescent="0.25">
      <c r="A8">
        <f>INDEX(Dati_grezzi!$A$2:$D$151,4,MATCH($B$3,Dati_grezzi!$A$1:$D$1,0))</f>
        <v>4.5999999999999996</v>
      </c>
      <c r="G8" t="str">
        <f t="shared" si="1"/>
        <v>NO</v>
      </c>
      <c r="H8">
        <f>(A8-AVERAGE(INDEX(Dati_grezzi!$A$2:$D$151,0,MATCH($B$3,Dati_grezzi!$A$1:$D$1,0))))/_xlfn.SINGLE(STDEV(INDEX(Dati_grezzi!$A$2:$D$151,0,MATCH($B$3,Dati_grezzi!$A$1:$D$1,0))))</f>
        <v>-1.5014903898672725</v>
      </c>
      <c r="I8" t="str">
        <f t="shared" si="0"/>
        <v>NO</v>
      </c>
    </row>
    <row r="9" spans="1:9" x14ac:dyDescent="0.25">
      <c r="A9">
        <f>INDEX(Dati_grezzi!$A$2:$D$151,5,MATCH($B$3,Dati_grezzi!$A$1:$D$1,0))</f>
        <v>5</v>
      </c>
      <c r="G9" t="str">
        <f t="shared" si="1"/>
        <v>NO</v>
      </c>
      <c r="H9">
        <f>(A9-AVERAGE(INDEX(Dati_grezzi!$A$2:$D$151,0,MATCH($B$3,Dati_grezzi!$A$1:$D$1,0))))/_xlfn.SINGLE(STDEV(INDEX(Dati_grezzi!$A$2:$D$151,0,MATCH($B$3,Dati_grezzi!$A$1:$D$1,0))))</f>
        <v>-1.0184371813308848</v>
      </c>
      <c r="I9" t="str">
        <f t="shared" si="0"/>
        <v>NO</v>
      </c>
    </row>
    <row r="10" spans="1:9" x14ac:dyDescent="0.25">
      <c r="A10">
        <f>INDEX(Dati_grezzi!$A$2:$D$151,6,MATCH($B$3,Dati_grezzi!$A$1:$D$1,0))</f>
        <v>5.4</v>
      </c>
      <c r="G10" t="str">
        <f t="shared" si="1"/>
        <v>NO</v>
      </c>
      <c r="H10">
        <f>(A10-AVERAGE(INDEX(Dati_grezzi!$A$2:$D$151,0,MATCH($B$3,Dati_grezzi!$A$1:$D$1,0))))/_xlfn.SINGLE(STDEV(INDEX(Dati_grezzi!$A$2:$D$151,0,MATCH($B$3,Dati_grezzi!$A$1:$D$1,0))))</f>
        <v>-0.53538397279449701</v>
      </c>
      <c r="I10" t="str">
        <f t="shared" si="0"/>
        <v>NO</v>
      </c>
    </row>
    <row r="11" spans="1:9" x14ac:dyDescent="0.25">
      <c r="A11">
        <f>INDEX(Dati_grezzi!$A$2:$D$151,7,MATCH($B$3,Dati_grezzi!$A$1:$D$1,0))</f>
        <v>4.5999999999999996</v>
      </c>
      <c r="G11" t="str">
        <f t="shared" si="1"/>
        <v>NO</v>
      </c>
      <c r="H11">
        <f>(A11-AVERAGE(INDEX(Dati_grezzi!$A$2:$D$151,0,MATCH($B$3,Dati_grezzi!$A$1:$D$1,0))))/_xlfn.SINGLE(STDEV(INDEX(Dati_grezzi!$A$2:$D$151,0,MATCH($B$3,Dati_grezzi!$A$1:$D$1,0))))</f>
        <v>-1.5014903898672725</v>
      </c>
      <c r="I11" t="str">
        <f t="shared" si="0"/>
        <v>NO</v>
      </c>
    </row>
    <row r="12" spans="1:9" x14ac:dyDescent="0.25">
      <c r="A12">
        <f>INDEX(Dati_grezzi!$A$2:$D$151,8,MATCH($B$3,Dati_grezzi!$A$1:$D$1,0))</f>
        <v>5</v>
      </c>
      <c r="G12" t="str">
        <f t="shared" si="1"/>
        <v>NO</v>
      </c>
      <c r="H12">
        <f>(A12-AVERAGE(INDEX(Dati_grezzi!$A$2:$D$151,0,MATCH($B$3,Dati_grezzi!$A$1:$D$1,0))))/_xlfn.SINGLE(STDEV(INDEX(Dati_grezzi!$A$2:$D$151,0,MATCH($B$3,Dati_grezzi!$A$1:$D$1,0))))</f>
        <v>-1.0184371813308848</v>
      </c>
      <c r="I12" t="str">
        <f t="shared" si="0"/>
        <v>NO</v>
      </c>
    </row>
    <row r="13" spans="1:9" x14ac:dyDescent="0.25">
      <c r="A13">
        <f>INDEX(Dati_grezzi!$A$2:$D$151,9,MATCH($B$3,Dati_grezzi!$A$1:$D$1,0))</f>
        <v>4.4000000000000004</v>
      </c>
      <c r="G13" t="str">
        <f t="shared" si="1"/>
        <v>NO</v>
      </c>
      <c r="H13">
        <f>(A13-AVERAGE(INDEX(Dati_grezzi!$A$2:$D$151,0,MATCH($B$3,Dati_grezzi!$A$1:$D$1,0))))/_xlfn.SINGLE(STDEV(INDEX(Dati_grezzi!$A$2:$D$151,0,MATCH($B$3,Dati_grezzi!$A$1:$D$1,0))))</f>
        <v>-1.7430169941354652</v>
      </c>
      <c r="I13" t="str">
        <f t="shared" si="0"/>
        <v>NO</v>
      </c>
    </row>
    <row r="14" spans="1:9" x14ac:dyDescent="0.25">
      <c r="A14">
        <f>INDEX(Dati_grezzi!$A$2:$D$151,10,MATCH($B$3,Dati_grezzi!$A$1:$D$1,0))</f>
        <v>4.9000000000000004</v>
      </c>
      <c r="G14" t="str">
        <f t="shared" si="1"/>
        <v>NO</v>
      </c>
      <c r="H14">
        <f>(A14-AVERAGE(INDEX(Dati_grezzi!$A$2:$D$151,0,MATCH($B$3,Dati_grezzi!$A$1:$D$1,0))))/_xlfn.SINGLE(STDEV(INDEX(Dati_grezzi!$A$2:$D$151,0,MATCH($B$3,Dati_grezzi!$A$1:$D$1,0))))</f>
        <v>-1.1392004834649812</v>
      </c>
      <c r="I14" t="str">
        <f t="shared" si="0"/>
        <v>NO</v>
      </c>
    </row>
    <row r="15" spans="1:9" x14ac:dyDescent="0.25">
      <c r="A15">
        <f>INDEX(Dati_grezzi!$A$2:$D$151,11,MATCH($B$3,Dati_grezzi!$A$1:$D$1,0))</f>
        <v>5.4</v>
      </c>
      <c r="G15" t="str">
        <f t="shared" si="1"/>
        <v>NO</v>
      </c>
      <c r="H15">
        <f>(A15-AVERAGE(INDEX(Dati_grezzi!$A$2:$D$151,0,MATCH($B$3,Dati_grezzi!$A$1:$D$1,0))))/_xlfn.SINGLE(STDEV(INDEX(Dati_grezzi!$A$2:$D$151,0,MATCH($B$3,Dati_grezzi!$A$1:$D$1,0))))</f>
        <v>-0.53538397279449701</v>
      </c>
      <c r="I15" t="str">
        <f t="shared" si="0"/>
        <v>NO</v>
      </c>
    </row>
    <row r="16" spans="1:9" x14ac:dyDescent="0.25">
      <c r="A16">
        <f>INDEX(Dati_grezzi!$A$2:$D$151,12,MATCH($B$3,Dati_grezzi!$A$1:$D$1,0))</f>
        <v>4.8</v>
      </c>
      <c r="G16" t="str">
        <f t="shared" si="1"/>
        <v>NO</v>
      </c>
      <c r="H16">
        <f>(A16-AVERAGE(INDEX(Dati_grezzi!$A$2:$D$151,0,MATCH($B$3,Dati_grezzi!$A$1:$D$1,0))))/_xlfn.SINGLE(STDEV(INDEX(Dati_grezzi!$A$2:$D$151,0,MATCH($B$3,Dati_grezzi!$A$1:$D$1,0))))</f>
        <v>-1.2599637855990786</v>
      </c>
      <c r="I16" t="str">
        <f t="shared" si="0"/>
        <v>NO</v>
      </c>
    </row>
    <row r="17" spans="1:9" x14ac:dyDescent="0.25">
      <c r="A17">
        <f>INDEX(Dati_grezzi!$A$2:$D$151,13,MATCH($B$3,Dati_grezzi!$A$1:$D$1,0))</f>
        <v>4.8</v>
      </c>
      <c r="G17" t="str">
        <f t="shared" si="1"/>
        <v>NO</v>
      </c>
      <c r="H17">
        <f>(A17-AVERAGE(INDEX(Dati_grezzi!$A$2:$D$151,0,MATCH($B$3,Dati_grezzi!$A$1:$D$1,0))))/_xlfn.SINGLE(STDEV(INDEX(Dati_grezzi!$A$2:$D$151,0,MATCH($B$3,Dati_grezzi!$A$1:$D$1,0))))</f>
        <v>-1.2599637855990786</v>
      </c>
      <c r="I17" t="str">
        <f t="shared" si="0"/>
        <v>NO</v>
      </c>
    </row>
    <row r="18" spans="1:9" x14ac:dyDescent="0.25">
      <c r="A18">
        <f>INDEX(Dati_grezzi!$A$2:$D$151,14,MATCH($B$3,Dati_grezzi!$A$1:$D$1,0))</f>
        <v>4.3</v>
      </c>
      <c r="G18" t="str">
        <f t="shared" si="1"/>
        <v>NO</v>
      </c>
      <c r="H18">
        <f>(A18-AVERAGE(INDEX(Dati_grezzi!$A$2:$D$151,0,MATCH($B$3,Dati_grezzi!$A$1:$D$1,0))))/_xlfn.SINGLE(STDEV(INDEX(Dati_grezzi!$A$2:$D$151,0,MATCH($B$3,Dati_grezzi!$A$1:$D$1,0))))</f>
        <v>-1.8637802962695627</v>
      </c>
      <c r="I18" t="str">
        <f t="shared" si="0"/>
        <v>NO</v>
      </c>
    </row>
    <row r="19" spans="1:9" x14ac:dyDescent="0.25">
      <c r="A19">
        <f>INDEX(Dati_grezzi!$A$2:$D$151,15,MATCH($B$3,Dati_grezzi!$A$1:$D$1,0))</f>
        <v>5.8</v>
      </c>
      <c r="G19" t="str">
        <f t="shared" si="1"/>
        <v>NO</v>
      </c>
      <c r="H19">
        <f>(A19-AVERAGE(INDEX(Dati_grezzi!$A$2:$D$151,0,MATCH($B$3,Dati_grezzi!$A$1:$D$1,0))))/_xlfn.SINGLE(STDEV(INDEX(Dati_grezzi!$A$2:$D$151,0,MATCH($B$3,Dati_grezzi!$A$1:$D$1,0))))</f>
        <v>-5.2330764258110368E-2</v>
      </c>
      <c r="I19" t="str">
        <f t="shared" si="0"/>
        <v>NO</v>
      </c>
    </row>
    <row r="20" spans="1:9" x14ac:dyDescent="0.25">
      <c r="A20">
        <f>INDEX(Dati_grezzi!$A$2:$D$151,16,MATCH($B$3,Dati_grezzi!$A$1:$D$1,0))</f>
        <v>5.7</v>
      </c>
      <c r="G20" t="str">
        <f t="shared" si="1"/>
        <v>NO</v>
      </c>
      <c r="H20">
        <f>(A20-AVERAGE(INDEX(Dati_grezzi!$A$2:$D$151,0,MATCH($B$3,Dati_grezzi!$A$1:$D$1,0))))/_xlfn.SINGLE(STDEV(INDEX(Dati_grezzi!$A$2:$D$151,0,MATCH($B$3,Dati_grezzi!$A$1:$D$1,0))))</f>
        <v>-0.17309406639220676</v>
      </c>
      <c r="I20" t="str">
        <f t="shared" si="0"/>
        <v>NO</v>
      </c>
    </row>
    <row r="21" spans="1:9" x14ac:dyDescent="0.25">
      <c r="A21">
        <f>INDEX(Dati_grezzi!$A$2:$D$151,17,MATCH($B$3,Dati_grezzi!$A$1:$D$1,0))</f>
        <v>5.4</v>
      </c>
      <c r="G21" t="str">
        <f t="shared" si="1"/>
        <v>NO</v>
      </c>
      <c r="H21">
        <f>(A21-AVERAGE(INDEX(Dati_grezzi!$A$2:$D$151,0,MATCH($B$3,Dati_grezzi!$A$1:$D$1,0))))/_xlfn.SINGLE(STDEV(INDEX(Dati_grezzi!$A$2:$D$151,0,MATCH($B$3,Dati_grezzi!$A$1:$D$1,0))))</f>
        <v>-0.53538397279449701</v>
      </c>
      <c r="I21" t="str">
        <f t="shared" si="0"/>
        <v>NO</v>
      </c>
    </row>
    <row r="22" spans="1:9" x14ac:dyDescent="0.25">
      <c r="A22">
        <f>INDEX(Dati_grezzi!$A$2:$D$151,18,MATCH($B$3,Dati_grezzi!$A$1:$D$1,0))</f>
        <v>5.0999999999999996</v>
      </c>
      <c r="G22" t="str">
        <f t="shared" si="1"/>
        <v>NO</v>
      </c>
      <c r="H22">
        <f>(A22-AVERAGE(INDEX(Dati_grezzi!$A$2:$D$151,0,MATCH($B$3,Dati_grezzi!$A$1:$D$1,0))))/_xlfn.SINGLE(STDEV(INDEX(Dati_grezzi!$A$2:$D$151,0,MATCH($B$3,Dati_grezzi!$A$1:$D$1,0))))</f>
        <v>-0.89767387919678832</v>
      </c>
      <c r="I22" t="str">
        <f t="shared" si="0"/>
        <v>NO</v>
      </c>
    </row>
    <row r="23" spans="1:9" x14ac:dyDescent="0.25">
      <c r="A23">
        <f>INDEX(Dati_grezzi!$A$2:$D$151,19,MATCH($B$3,Dati_grezzi!$A$1:$D$1,0))</f>
        <v>5.7</v>
      </c>
      <c r="G23" t="str">
        <f t="shared" si="1"/>
        <v>NO</v>
      </c>
      <c r="H23">
        <f>(A23-AVERAGE(INDEX(Dati_grezzi!$A$2:$D$151,0,MATCH($B$3,Dati_grezzi!$A$1:$D$1,0))))/_xlfn.SINGLE(STDEV(INDEX(Dati_grezzi!$A$2:$D$151,0,MATCH($B$3,Dati_grezzi!$A$1:$D$1,0))))</f>
        <v>-0.17309406639220676</v>
      </c>
      <c r="I23" t="str">
        <f t="shared" si="0"/>
        <v>NO</v>
      </c>
    </row>
    <row r="24" spans="1:9" x14ac:dyDescent="0.25">
      <c r="A24">
        <f>INDEX(Dati_grezzi!$A$2:$D$151,20,MATCH($B$3,Dati_grezzi!$A$1:$D$1,0))</f>
        <v>5.0999999999999996</v>
      </c>
      <c r="G24" t="str">
        <f t="shared" si="1"/>
        <v>NO</v>
      </c>
      <c r="H24">
        <f>(A24-AVERAGE(INDEX(Dati_grezzi!$A$2:$D$151,0,MATCH($B$3,Dati_grezzi!$A$1:$D$1,0))))/_xlfn.SINGLE(STDEV(INDEX(Dati_grezzi!$A$2:$D$151,0,MATCH($B$3,Dati_grezzi!$A$1:$D$1,0))))</f>
        <v>-0.89767387919678832</v>
      </c>
      <c r="I24" t="str">
        <f t="shared" si="0"/>
        <v>NO</v>
      </c>
    </row>
    <row r="25" spans="1:9" x14ac:dyDescent="0.25">
      <c r="A25">
        <f>INDEX(Dati_grezzi!$A$2:$D$151,21,MATCH($B$3,Dati_grezzi!$A$1:$D$1,0))</f>
        <v>5.4</v>
      </c>
      <c r="G25" t="str">
        <f t="shared" si="1"/>
        <v>NO</v>
      </c>
      <c r="H25">
        <f>(A25-AVERAGE(INDEX(Dati_grezzi!$A$2:$D$151,0,MATCH($B$3,Dati_grezzi!$A$1:$D$1,0))))/_xlfn.SINGLE(STDEV(INDEX(Dati_grezzi!$A$2:$D$151,0,MATCH($B$3,Dati_grezzi!$A$1:$D$1,0))))</f>
        <v>-0.53538397279449701</v>
      </c>
      <c r="I25" t="str">
        <f t="shared" si="0"/>
        <v>NO</v>
      </c>
    </row>
    <row r="26" spans="1:9" x14ac:dyDescent="0.25">
      <c r="A26">
        <f>INDEX(Dati_grezzi!$A$2:$D$151,22,MATCH($B$3,Dati_grezzi!$A$1:$D$1,0))</f>
        <v>5.0999999999999996</v>
      </c>
      <c r="G26" t="str">
        <f t="shared" si="1"/>
        <v>NO</v>
      </c>
      <c r="H26">
        <f>(A26-AVERAGE(INDEX(Dati_grezzi!$A$2:$D$151,0,MATCH($B$3,Dati_grezzi!$A$1:$D$1,0))))/_xlfn.SINGLE(STDEV(INDEX(Dati_grezzi!$A$2:$D$151,0,MATCH($B$3,Dati_grezzi!$A$1:$D$1,0))))</f>
        <v>-0.89767387919678832</v>
      </c>
      <c r="I26" t="str">
        <f t="shared" si="0"/>
        <v>NO</v>
      </c>
    </row>
    <row r="27" spans="1:9" x14ac:dyDescent="0.25">
      <c r="A27">
        <f>INDEX(Dati_grezzi!$A$2:$D$151,23,MATCH($B$3,Dati_grezzi!$A$1:$D$1,0))</f>
        <v>4.5999999999999996</v>
      </c>
      <c r="G27" t="str">
        <f t="shared" si="1"/>
        <v>NO</v>
      </c>
      <c r="H27">
        <f>(A27-AVERAGE(INDEX(Dati_grezzi!$A$2:$D$151,0,MATCH($B$3,Dati_grezzi!$A$1:$D$1,0))))/_xlfn.SINGLE(STDEV(INDEX(Dati_grezzi!$A$2:$D$151,0,MATCH($B$3,Dati_grezzi!$A$1:$D$1,0))))</f>
        <v>-1.5014903898672725</v>
      </c>
      <c r="I27" t="str">
        <f t="shared" si="0"/>
        <v>NO</v>
      </c>
    </row>
    <row r="28" spans="1:9" x14ac:dyDescent="0.25">
      <c r="A28">
        <f>INDEX(Dati_grezzi!$A$2:$D$151,24,MATCH($B$3,Dati_grezzi!$A$1:$D$1,0))</f>
        <v>5.0999999999999996</v>
      </c>
      <c r="G28" t="str">
        <f t="shared" si="1"/>
        <v>NO</v>
      </c>
      <c r="H28">
        <f>(A28-AVERAGE(INDEX(Dati_grezzi!$A$2:$D$151,0,MATCH($B$3,Dati_grezzi!$A$1:$D$1,0))))/_xlfn.SINGLE(STDEV(INDEX(Dati_grezzi!$A$2:$D$151,0,MATCH($B$3,Dati_grezzi!$A$1:$D$1,0))))</f>
        <v>-0.89767387919678832</v>
      </c>
      <c r="I28" t="str">
        <f t="shared" si="0"/>
        <v>NO</v>
      </c>
    </row>
    <row r="29" spans="1:9" x14ac:dyDescent="0.25">
      <c r="A29">
        <f>INDEX(Dati_grezzi!$A$2:$D$151,25,MATCH($B$3,Dati_grezzi!$A$1:$D$1,0))</f>
        <v>4.8</v>
      </c>
      <c r="G29" t="str">
        <f t="shared" si="1"/>
        <v>NO</v>
      </c>
      <c r="H29">
        <f>(A29-AVERAGE(INDEX(Dati_grezzi!$A$2:$D$151,0,MATCH($B$3,Dati_grezzi!$A$1:$D$1,0))))/_xlfn.SINGLE(STDEV(INDEX(Dati_grezzi!$A$2:$D$151,0,MATCH($B$3,Dati_grezzi!$A$1:$D$1,0))))</f>
        <v>-1.2599637855990786</v>
      </c>
      <c r="I29" t="str">
        <f t="shared" si="0"/>
        <v>NO</v>
      </c>
    </row>
    <row r="30" spans="1:9" x14ac:dyDescent="0.25">
      <c r="A30">
        <f>INDEX(Dati_grezzi!$A$2:$D$151,26,MATCH($B$3,Dati_grezzi!$A$1:$D$1,0))</f>
        <v>5</v>
      </c>
      <c r="G30" t="str">
        <f t="shared" si="1"/>
        <v>NO</v>
      </c>
      <c r="H30">
        <f>(A30-AVERAGE(INDEX(Dati_grezzi!$A$2:$D$151,0,MATCH($B$3,Dati_grezzi!$A$1:$D$1,0))))/_xlfn.SINGLE(STDEV(INDEX(Dati_grezzi!$A$2:$D$151,0,MATCH($B$3,Dati_grezzi!$A$1:$D$1,0))))</f>
        <v>-1.0184371813308848</v>
      </c>
      <c r="I30" t="str">
        <f t="shared" si="0"/>
        <v>NO</v>
      </c>
    </row>
    <row r="31" spans="1:9" x14ac:dyDescent="0.25">
      <c r="A31">
        <f>INDEX(Dati_grezzi!$A$2:$D$151,27,MATCH($B$3,Dati_grezzi!$A$1:$D$1,0))</f>
        <v>5</v>
      </c>
      <c r="G31" t="str">
        <f t="shared" si="1"/>
        <v>NO</v>
      </c>
      <c r="H31">
        <f>(A31-AVERAGE(INDEX(Dati_grezzi!$A$2:$D$151,0,MATCH($B$3,Dati_grezzi!$A$1:$D$1,0))))/_xlfn.SINGLE(STDEV(INDEX(Dati_grezzi!$A$2:$D$151,0,MATCH($B$3,Dati_grezzi!$A$1:$D$1,0))))</f>
        <v>-1.0184371813308848</v>
      </c>
      <c r="I31" t="str">
        <f t="shared" si="0"/>
        <v>NO</v>
      </c>
    </row>
    <row r="32" spans="1:9" x14ac:dyDescent="0.25">
      <c r="A32">
        <f>INDEX(Dati_grezzi!$A$2:$D$151,28,MATCH($B$3,Dati_grezzi!$A$1:$D$1,0))</f>
        <v>5.2</v>
      </c>
      <c r="G32" t="str">
        <f t="shared" si="1"/>
        <v>NO</v>
      </c>
      <c r="H32">
        <f>(A32-AVERAGE(INDEX(Dati_grezzi!$A$2:$D$151,0,MATCH($B$3,Dati_grezzi!$A$1:$D$1,0))))/_xlfn.SINGLE(STDEV(INDEX(Dati_grezzi!$A$2:$D$151,0,MATCH($B$3,Dati_grezzi!$A$1:$D$1,0))))</f>
        <v>-0.77691057706269084</v>
      </c>
      <c r="I32" t="str">
        <f t="shared" si="0"/>
        <v>NO</v>
      </c>
    </row>
    <row r="33" spans="1:9" x14ac:dyDescent="0.25">
      <c r="A33">
        <f>INDEX(Dati_grezzi!$A$2:$D$151,29,MATCH($B$3,Dati_grezzi!$A$1:$D$1,0))</f>
        <v>5.2</v>
      </c>
      <c r="G33" t="str">
        <f t="shared" si="1"/>
        <v>NO</v>
      </c>
      <c r="H33">
        <f>(A33-AVERAGE(INDEX(Dati_grezzi!$A$2:$D$151,0,MATCH($B$3,Dati_grezzi!$A$1:$D$1,0))))/_xlfn.SINGLE(STDEV(INDEX(Dati_grezzi!$A$2:$D$151,0,MATCH($B$3,Dati_grezzi!$A$1:$D$1,0))))</f>
        <v>-0.77691057706269084</v>
      </c>
      <c r="I33" t="str">
        <f t="shared" si="0"/>
        <v>NO</v>
      </c>
    </row>
    <row r="34" spans="1:9" x14ac:dyDescent="0.25">
      <c r="A34">
        <f>INDEX(Dati_grezzi!$A$2:$D$151,30,MATCH($B$3,Dati_grezzi!$A$1:$D$1,0))</f>
        <v>4.7</v>
      </c>
      <c r="G34" t="str">
        <f t="shared" si="1"/>
        <v>NO</v>
      </c>
      <c r="H34">
        <f>(A34-AVERAGE(INDEX(Dati_grezzi!$A$2:$D$151,0,MATCH($B$3,Dati_grezzi!$A$1:$D$1,0))))/_xlfn.SINGLE(STDEV(INDEX(Dati_grezzi!$A$2:$D$151,0,MATCH($B$3,Dati_grezzi!$A$1:$D$1,0))))</f>
        <v>-1.380727087733175</v>
      </c>
      <c r="I34" t="str">
        <f t="shared" si="0"/>
        <v>NO</v>
      </c>
    </row>
    <row r="35" spans="1:9" x14ac:dyDescent="0.25">
      <c r="A35">
        <f>INDEX(Dati_grezzi!$A$2:$D$151,31,MATCH($B$3,Dati_grezzi!$A$1:$D$1,0))</f>
        <v>4.8</v>
      </c>
      <c r="G35" t="str">
        <f t="shared" si="1"/>
        <v>NO</v>
      </c>
      <c r="H35">
        <f>(A35-AVERAGE(INDEX(Dati_grezzi!$A$2:$D$151,0,MATCH($B$3,Dati_grezzi!$A$1:$D$1,0))))/_xlfn.SINGLE(STDEV(INDEX(Dati_grezzi!$A$2:$D$151,0,MATCH($B$3,Dati_grezzi!$A$1:$D$1,0))))</f>
        <v>-1.2599637855990786</v>
      </c>
      <c r="I35" t="str">
        <f t="shared" si="0"/>
        <v>NO</v>
      </c>
    </row>
    <row r="36" spans="1:9" x14ac:dyDescent="0.25">
      <c r="A36">
        <f>INDEX(Dati_grezzi!$A$2:$D$151,32,MATCH($B$3,Dati_grezzi!$A$1:$D$1,0))</f>
        <v>5.4</v>
      </c>
      <c r="G36" t="str">
        <f t="shared" si="1"/>
        <v>NO</v>
      </c>
      <c r="H36">
        <f>(A36-AVERAGE(INDEX(Dati_grezzi!$A$2:$D$151,0,MATCH($B$3,Dati_grezzi!$A$1:$D$1,0))))/_xlfn.SINGLE(STDEV(INDEX(Dati_grezzi!$A$2:$D$151,0,MATCH($B$3,Dati_grezzi!$A$1:$D$1,0))))</f>
        <v>-0.53538397279449701</v>
      </c>
      <c r="I36" t="str">
        <f t="shared" si="0"/>
        <v>NO</v>
      </c>
    </row>
    <row r="37" spans="1:9" x14ac:dyDescent="0.25">
      <c r="A37">
        <f>INDEX(Dati_grezzi!$A$2:$D$151,33,MATCH($B$3,Dati_grezzi!$A$1:$D$1,0))</f>
        <v>5.2</v>
      </c>
      <c r="G37" t="str">
        <f t="shared" ref="G37:G68" si="2">IF(OR(A37&lt;$E$5,A37&gt;$F$5),"YES","NO")</f>
        <v>NO</v>
      </c>
      <c r="H37">
        <f>(A37-AVERAGE(INDEX(Dati_grezzi!$A$2:$D$151,0,MATCH($B$3,Dati_grezzi!$A$1:$D$1,0))))/_xlfn.SINGLE(STDEV(INDEX(Dati_grezzi!$A$2:$D$151,0,MATCH($B$3,Dati_grezzi!$A$1:$D$1,0))))</f>
        <v>-0.77691057706269084</v>
      </c>
      <c r="I37" t="str">
        <f t="shared" ref="I37:I68" si="3">IF(ABS(H37)&gt;3,"YES","NO")</f>
        <v>NO</v>
      </c>
    </row>
    <row r="38" spans="1:9" x14ac:dyDescent="0.25">
      <c r="A38">
        <f>INDEX(Dati_grezzi!$A$2:$D$151,34,MATCH($B$3,Dati_grezzi!$A$1:$D$1,0))</f>
        <v>5.5</v>
      </c>
      <c r="G38" t="str">
        <f t="shared" si="2"/>
        <v>NO</v>
      </c>
      <c r="H38">
        <f>(A38-AVERAGE(INDEX(Dati_grezzi!$A$2:$D$151,0,MATCH($B$3,Dati_grezzi!$A$1:$D$1,0))))/_xlfn.SINGLE(STDEV(INDEX(Dati_grezzi!$A$2:$D$151,0,MATCH($B$3,Dati_grezzi!$A$1:$D$1,0))))</f>
        <v>-0.41462067066040059</v>
      </c>
      <c r="I38" t="str">
        <f t="shared" si="3"/>
        <v>NO</v>
      </c>
    </row>
    <row r="39" spans="1:9" x14ac:dyDescent="0.25">
      <c r="A39">
        <f>INDEX(Dati_grezzi!$A$2:$D$151,35,MATCH($B$3,Dati_grezzi!$A$1:$D$1,0))</f>
        <v>4.9000000000000004</v>
      </c>
      <c r="G39" t="str">
        <f t="shared" si="2"/>
        <v>NO</v>
      </c>
      <c r="H39">
        <f>(A39-AVERAGE(INDEX(Dati_grezzi!$A$2:$D$151,0,MATCH($B$3,Dati_grezzi!$A$1:$D$1,0))))/_xlfn.SINGLE(STDEV(INDEX(Dati_grezzi!$A$2:$D$151,0,MATCH($B$3,Dati_grezzi!$A$1:$D$1,0))))</f>
        <v>-1.1392004834649812</v>
      </c>
      <c r="I39" t="str">
        <f t="shared" si="3"/>
        <v>NO</v>
      </c>
    </row>
    <row r="40" spans="1:9" x14ac:dyDescent="0.25">
      <c r="A40">
        <f>INDEX(Dati_grezzi!$A$2:$D$151,36,MATCH($B$3,Dati_grezzi!$A$1:$D$1,0))</f>
        <v>5</v>
      </c>
      <c r="G40" t="str">
        <f t="shared" si="2"/>
        <v>NO</v>
      </c>
      <c r="H40">
        <f>(A40-AVERAGE(INDEX(Dati_grezzi!$A$2:$D$151,0,MATCH($B$3,Dati_grezzi!$A$1:$D$1,0))))/_xlfn.SINGLE(STDEV(INDEX(Dati_grezzi!$A$2:$D$151,0,MATCH($B$3,Dati_grezzi!$A$1:$D$1,0))))</f>
        <v>-1.0184371813308848</v>
      </c>
      <c r="I40" t="str">
        <f t="shared" si="3"/>
        <v>NO</v>
      </c>
    </row>
    <row r="41" spans="1:9" x14ac:dyDescent="0.25">
      <c r="A41">
        <f>INDEX(Dati_grezzi!$A$2:$D$151,37,MATCH($B$3,Dati_grezzi!$A$1:$D$1,0))</f>
        <v>5.5</v>
      </c>
      <c r="G41" t="str">
        <f t="shared" si="2"/>
        <v>NO</v>
      </c>
      <c r="H41">
        <f>(A41-AVERAGE(INDEX(Dati_grezzi!$A$2:$D$151,0,MATCH($B$3,Dati_grezzi!$A$1:$D$1,0))))/_xlfn.SINGLE(STDEV(INDEX(Dati_grezzi!$A$2:$D$151,0,MATCH($B$3,Dati_grezzi!$A$1:$D$1,0))))</f>
        <v>-0.41462067066040059</v>
      </c>
      <c r="I41" t="str">
        <f t="shared" si="3"/>
        <v>NO</v>
      </c>
    </row>
    <row r="42" spans="1:9" x14ac:dyDescent="0.25">
      <c r="A42">
        <f>INDEX(Dati_grezzi!$A$2:$D$151,38,MATCH($B$3,Dati_grezzi!$A$1:$D$1,0))</f>
        <v>4.9000000000000004</v>
      </c>
      <c r="G42" t="str">
        <f t="shared" si="2"/>
        <v>NO</v>
      </c>
      <c r="H42">
        <f>(A42-AVERAGE(INDEX(Dati_grezzi!$A$2:$D$151,0,MATCH($B$3,Dati_grezzi!$A$1:$D$1,0))))/_xlfn.SINGLE(STDEV(INDEX(Dati_grezzi!$A$2:$D$151,0,MATCH($B$3,Dati_grezzi!$A$1:$D$1,0))))</f>
        <v>-1.1392004834649812</v>
      </c>
      <c r="I42" t="str">
        <f t="shared" si="3"/>
        <v>NO</v>
      </c>
    </row>
    <row r="43" spans="1:9" x14ac:dyDescent="0.25">
      <c r="A43">
        <f>INDEX(Dati_grezzi!$A$2:$D$151,39,MATCH($B$3,Dati_grezzi!$A$1:$D$1,0))</f>
        <v>4.4000000000000004</v>
      </c>
      <c r="G43" t="str">
        <f t="shared" si="2"/>
        <v>NO</v>
      </c>
      <c r="H43">
        <f>(A43-AVERAGE(INDEX(Dati_grezzi!$A$2:$D$151,0,MATCH($B$3,Dati_grezzi!$A$1:$D$1,0))))/_xlfn.SINGLE(STDEV(INDEX(Dati_grezzi!$A$2:$D$151,0,MATCH($B$3,Dati_grezzi!$A$1:$D$1,0))))</f>
        <v>-1.7430169941354652</v>
      </c>
      <c r="I43" t="str">
        <f t="shared" si="3"/>
        <v>NO</v>
      </c>
    </row>
    <row r="44" spans="1:9" x14ac:dyDescent="0.25">
      <c r="A44">
        <f>INDEX(Dati_grezzi!$A$2:$D$151,40,MATCH($B$3,Dati_grezzi!$A$1:$D$1,0))</f>
        <v>5.0999999999999996</v>
      </c>
      <c r="G44" t="str">
        <f t="shared" si="2"/>
        <v>NO</v>
      </c>
      <c r="H44">
        <f>(A44-AVERAGE(INDEX(Dati_grezzi!$A$2:$D$151,0,MATCH($B$3,Dati_grezzi!$A$1:$D$1,0))))/_xlfn.SINGLE(STDEV(INDEX(Dati_grezzi!$A$2:$D$151,0,MATCH($B$3,Dati_grezzi!$A$1:$D$1,0))))</f>
        <v>-0.89767387919678832</v>
      </c>
      <c r="I44" t="str">
        <f t="shared" si="3"/>
        <v>NO</v>
      </c>
    </row>
    <row r="45" spans="1:9" x14ac:dyDescent="0.25">
      <c r="A45">
        <f>INDEX(Dati_grezzi!$A$2:$D$151,41,MATCH($B$3,Dati_grezzi!$A$1:$D$1,0))</f>
        <v>5</v>
      </c>
      <c r="G45" t="str">
        <f t="shared" si="2"/>
        <v>NO</v>
      </c>
      <c r="H45">
        <f>(A45-AVERAGE(INDEX(Dati_grezzi!$A$2:$D$151,0,MATCH($B$3,Dati_grezzi!$A$1:$D$1,0))))/_xlfn.SINGLE(STDEV(INDEX(Dati_grezzi!$A$2:$D$151,0,MATCH($B$3,Dati_grezzi!$A$1:$D$1,0))))</f>
        <v>-1.0184371813308848</v>
      </c>
      <c r="I45" t="str">
        <f t="shared" si="3"/>
        <v>NO</v>
      </c>
    </row>
    <row r="46" spans="1:9" x14ac:dyDescent="0.25">
      <c r="A46">
        <f>INDEX(Dati_grezzi!$A$2:$D$151,42,MATCH($B$3,Dati_grezzi!$A$1:$D$1,0))</f>
        <v>4.5</v>
      </c>
      <c r="G46" t="str">
        <f t="shared" si="2"/>
        <v>NO</v>
      </c>
      <c r="H46">
        <f>(A46-AVERAGE(INDEX(Dati_grezzi!$A$2:$D$151,0,MATCH($B$3,Dati_grezzi!$A$1:$D$1,0))))/_xlfn.SINGLE(STDEV(INDEX(Dati_grezzi!$A$2:$D$151,0,MATCH($B$3,Dati_grezzi!$A$1:$D$1,0))))</f>
        <v>-1.6222536920013688</v>
      </c>
      <c r="I46" t="str">
        <f t="shared" si="3"/>
        <v>NO</v>
      </c>
    </row>
    <row r="47" spans="1:9" x14ac:dyDescent="0.25">
      <c r="A47">
        <f>INDEX(Dati_grezzi!$A$2:$D$151,43,MATCH($B$3,Dati_grezzi!$A$1:$D$1,0))</f>
        <v>4.4000000000000004</v>
      </c>
      <c r="G47" t="str">
        <f t="shared" si="2"/>
        <v>NO</v>
      </c>
      <c r="H47">
        <f>(A47-AVERAGE(INDEX(Dati_grezzi!$A$2:$D$151,0,MATCH($B$3,Dati_grezzi!$A$1:$D$1,0))))/_xlfn.SINGLE(STDEV(INDEX(Dati_grezzi!$A$2:$D$151,0,MATCH($B$3,Dati_grezzi!$A$1:$D$1,0))))</f>
        <v>-1.7430169941354652</v>
      </c>
      <c r="I47" t="str">
        <f t="shared" si="3"/>
        <v>NO</v>
      </c>
    </row>
    <row r="48" spans="1:9" x14ac:dyDescent="0.25">
      <c r="A48">
        <f>INDEX(Dati_grezzi!$A$2:$D$151,44,MATCH($B$3,Dati_grezzi!$A$1:$D$1,0))</f>
        <v>5</v>
      </c>
      <c r="G48" t="str">
        <f t="shared" si="2"/>
        <v>NO</v>
      </c>
      <c r="H48">
        <f>(A48-AVERAGE(INDEX(Dati_grezzi!$A$2:$D$151,0,MATCH($B$3,Dati_grezzi!$A$1:$D$1,0))))/_xlfn.SINGLE(STDEV(INDEX(Dati_grezzi!$A$2:$D$151,0,MATCH($B$3,Dati_grezzi!$A$1:$D$1,0))))</f>
        <v>-1.0184371813308848</v>
      </c>
      <c r="I48" t="str">
        <f t="shared" si="3"/>
        <v>NO</v>
      </c>
    </row>
    <row r="49" spans="1:9" x14ac:dyDescent="0.25">
      <c r="A49">
        <f>INDEX(Dati_grezzi!$A$2:$D$151,45,MATCH($B$3,Dati_grezzi!$A$1:$D$1,0))</f>
        <v>5.0999999999999996</v>
      </c>
      <c r="G49" t="str">
        <f t="shared" si="2"/>
        <v>NO</v>
      </c>
      <c r="H49">
        <f>(A49-AVERAGE(INDEX(Dati_grezzi!$A$2:$D$151,0,MATCH($B$3,Dati_grezzi!$A$1:$D$1,0))))/_xlfn.SINGLE(STDEV(INDEX(Dati_grezzi!$A$2:$D$151,0,MATCH($B$3,Dati_grezzi!$A$1:$D$1,0))))</f>
        <v>-0.89767387919678832</v>
      </c>
      <c r="I49" t="str">
        <f t="shared" si="3"/>
        <v>NO</v>
      </c>
    </row>
    <row r="50" spans="1:9" x14ac:dyDescent="0.25">
      <c r="A50">
        <f>INDEX(Dati_grezzi!$A$2:$D$151,46,MATCH($B$3,Dati_grezzi!$A$1:$D$1,0))</f>
        <v>4.8</v>
      </c>
      <c r="G50" t="str">
        <f t="shared" si="2"/>
        <v>NO</v>
      </c>
      <c r="H50">
        <f>(A50-AVERAGE(INDEX(Dati_grezzi!$A$2:$D$151,0,MATCH($B$3,Dati_grezzi!$A$1:$D$1,0))))/_xlfn.SINGLE(STDEV(INDEX(Dati_grezzi!$A$2:$D$151,0,MATCH($B$3,Dati_grezzi!$A$1:$D$1,0))))</f>
        <v>-1.2599637855990786</v>
      </c>
      <c r="I50" t="str">
        <f t="shared" si="3"/>
        <v>NO</v>
      </c>
    </row>
    <row r="51" spans="1:9" x14ac:dyDescent="0.25">
      <c r="A51">
        <f>INDEX(Dati_grezzi!$A$2:$D$151,47,MATCH($B$3,Dati_grezzi!$A$1:$D$1,0))</f>
        <v>5.0999999999999996</v>
      </c>
      <c r="G51" t="str">
        <f t="shared" si="2"/>
        <v>NO</v>
      </c>
      <c r="H51">
        <f>(A51-AVERAGE(INDEX(Dati_grezzi!$A$2:$D$151,0,MATCH($B$3,Dati_grezzi!$A$1:$D$1,0))))/_xlfn.SINGLE(STDEV(INDEX(Dati_grezzi!$A$2:$D$151,0,MATCH($B$3,Dati_grezzi!$A$1:$D$1,0))))</f>
        <v>-0.89767387919678832</v>
      </c>
      <c r="I51" t="str">
        <f t="shared" si="3"/>
        <v>NO</v>
      </c>
    </row>
    <row r="52" spans="1:9" x14ac:dyDescent="0.25">
      <c r="A52">
        <f>INDEX(Dati_grezzi!$A$2:$D$151,48,MATCH($B$3,Dati_grezzi!$A$1:$D$1,0))</f>
        <v>4.5999999999999996</v>
      </c>
      <c r="G52" t="str">
        <f t="shared" si="2"/>
        <v>NO</v>
      </c>
      <c r="H52">
        <f>(A52-AVERAGE(INDEX(Dati_grezzi!$A$2:$D$151,0,MATCH($B$3,Dati_grezzi!$A$1:$D$1,0))))/_xlfn.SINGLE(STDEV(INDEX(Dati_grezzi!$A$2:$D$151,0,MATCH($B$3,Dati_grezzi!$A$1:$D$1,0))))</f>
        <v>-1.5014903898672725</v>
      </c>
      <c r="I52" t="str">
        <f t="shared" si="3"/>
        <v>NO</v>
      </c>
    </row>
    <row r="53" spans="1:9" x14ac:dyDescent="0.25">
      <c r="A53">
        <f>INDEX(Dati_grezzi!$A$2:$D$151,49,MATCH($B$3,Dati_grezzi!$A$1:$D$1,0))</f>
        <v>5.3</v>
      </c>
      <c r="G53" t="str">
        <f t="shared" si="2"/>
        <v>NO</v>
      </c>
      <c r="H53">
        <f>(A53-AVERAGE(INDEX(Dati_grezzi!$A$2:$D$151,0,MATCH($B$3,Dati_grezzi!$A$1:$D$1,0))))/_xlfn.SINGLE(STDEV(INDEX(Dati_grezzi!$A$2:$D$151,0,MATCH($B$3,Dati_grezzi!$A$1:$D$1,0))))</f>
        <v>-0.65614727492859448</v>
      </c>
      <c r="I53" t="str">
        <f t="shared" si="3"/>
        <v>NO</v>
      </c>
    </row>
    <row r="54" spans="1:9" x14ac:dyDescent="0.25">
      <c r="A54">
        <f>INDEX(Dati_grezzi!$A$2:$D$151,50,MATCH($B$3,Dati_grezzi!$A$1:$D$1,0))</f>
        <v>5</v>
      </c>
      <c r="G54" t="str">
        <f t="shared" si="2"/>
        <v>NO</v>
      </c>
      <c r="H54">
        <f>(A54-AVERAGE(INDEX(Dati_grezzi!$A$2:$D$151,0,MATCH($B$3,Dati_grezzi!$A$1:$D$1,0))))/_xlfn.SINGLE(STDEV(INDEX(Dati_grezzi!$A$2:$D$151,0,MATCH($B$3,Dati_grezzi!$A$1:$D$1,0))))</f>
        <v>-1.0184371813308848</v>
      </c>
      <c r="I54" t="str">
        <f t="shared" si="3"/>
        <v>NO</v>
      </c>
    </row>
    <row r="55" spans="1:9" x14ac:dyDescent="0.25">
      <c r="A55">
        <f>INDEX(Dati_grezzi!$A$2:$D$151,51,MATCH($B$3,Dati_grezzi!$A$1:$D$1,0))</f>
        <v>7</v>
      </c>
      <c r="G55" t="str">
        <f t="shared" si="2"/>
        <v>NO</v>
      </c>
      <c r="H55">
        <f>(A55-AVERAGE(INDEX(Dati_grezzi!$A$2:$D$151,0,MATCH($B$3,Dati_grezzi!$A$1:$D$1,0))))/_xlfn.SINGLE(STDEV(INDEX(Dati_grezzi!$A$2:$D$151,0,MATCH($B$3,Dati_grezzi!$A$1:$D$1,0))))</f>
        <v>1.3968288613510518</v>
      </c>
      <c r="I55" t="str">
        <f t="shared" si="3"/>
        <v>NO</v>
      </c>
    </row>
    <row r="56" spans="1:9" x14ac:dyDescent="0.25">
      <c r="A56">
        <f>INDEX(Dati_grezzi!$A$2:$D$151,52,MATCH($B$3,Dati_grezzi!$A$1:$D$1,0))</f>
        <v>6.4</v>
      </c>
      <c r="G56" t="str">
        <f t="shared" si="2"/>
        <v>NO</v>
      </c>
      <c r="H56">
        <f>(A56-AVERAGE(INDEX(Dati_grezzi!$A$2:$D$151,0,MATCH($B$3,Dati_grezzi!$A$1:$D$1,0))))/_xlfn.SINGLE(STDEV(INDEX(Dati_grezzi!$A$2:$D$151,0,MATCH($B$3,Dati_grezzi!$A$1:$D$1,0))))</f>
        <v>0.67224904854647116</v>
      </c>
      <c r="I56" t="str">
        <f t="shared" si="3"/>
        <v>NO</v>
      </c>
    </row>
    <row r="57" spans="1:9" x14ac:dyDescent="0.25">
      <c r="A57">
        <f>INDEX(Dati_grezzi!$A$2:$D$151,53,MATCH($B$3,Dati_grezzi!$A$1:$D$1,0))</f>
        <v>6.9</v>
      </c>
      <c r="G57" t="str">
        <f t="shared" si="2"/>
        <v>NO</v>
      </c>
      <c r="H57">
        <f>(A57-AVERAGE(INDEX(Dati_grezzi!$A$2:$D$151,0,MATCH($B$3,Dati_grezzi!$A$1:$D$1,0))))/_xlfn.SINGLE(STDEV(INDEX(Dati_grezzi!$A$2:$D$151,0,MATCH($B$3,Dati_grezzi!$A$1:$D$1,0))))</f>
        <v>1.2760655592169552</v>
      </c>
      <c r="I57" t="str">
        <f t="shared" si="3"/>
        <v>NO</v>
      </c>
    </row>
    <row r="58" spans="1:9" x14ac:dyDescent="0.25">
      <c r="A58">
        <f>INDEX(Dati_grezzi!$A$2:$D$151,54,MATCH($B$3,Dati_grezzi!$A$1:$D$1,0))</f>
        <v>5.5</v>
      </c>
      <c r="G58" t="str">
        <f t="shared" si="2"/>
        <v>NO</v>
      </c>
      <c r="H58">
        <f>(A58-AVERAGE(INDEX(Dati_grezzi!$A$2:$D$151,0,MATCH($B$3,Dati_grezzi!$A$1:$D$1,0))))/_xlfn.SINGLE(STDEV(INDEX(Dati_grezzi!$A$2:$D$151,0,MATCH($B$3,Dati_grezzi!$A$1:$D$1,0))))</f>
        <v>-0.41462067066040059</v>
      </c>
      <c r="I58" t="str">
        <f t="shared" si="3"/>
        <v>NO</v>
      </c>
    </row>
    <row r="59" spans="1:9" x14ac:dyDescent="0.25">
      <c r="A59">
        <f>INDEX(Dati_grezzi!$A$2:$D$151,55,MATCH($B$3,Dati_grezzi!$A$1:$D$1,0))</f>
        <v>6.5</v>
      </c>
      <c r="G59" t="str">
        <f t="shared" si="2"/>
        <v>NO</v>
      </c>
      <c r="H59">
        <f>(A59-AVERAGE(INDEX(Dati_grezzi!$A$2:$D$151,0,MATCH($B$3,Dati_grezzi!$A$1:$D$1,0))))/_xlfn.SINGLE(STDEV(INDEX(Dati_grezzi!$A$2:$D$151,0,MATCH($B$3,Dati_grezzi!$A$1:$D$1,0))))</f>
        <v>0.79301235068056763</v>
      </c>
      <c r="I59" t="str">
        <f t="shared" si="3"/>
        <v>NO</v>
      </c>
    </row>
    <row r="60" spans="1:9" x14ac:dyDescent="0.25">
      <c r="A60">
        <f>INDEX(Dati_grezzi!$A$2:$D$151,56,MATCH($B$3,Dati_grezzi!$A$1:$D$1,0))</f>
        <v>5.7</v>
      </c>
      <c r="G60" t="str">
        <f t="shared" si="2"/>
        <v>NO</v>
      </c>
      <c r="H60">
        <f>(A60-AVERAGE(INDEX(Dati_grezzi!$A$2:$D$151,0,MATCH($B$3,Dati_grezzi!$A$1:$D$1,0))))/_xlfn.SINGLE(STDEV(INDEX(Dati_grezzi!$A$2:$D$151,0,MATCH($B$3,Dati_grezzi!$A$1:$D$1,0))))</f>
        <v>-0.17309406639220676</v>
      </c>
      <c r="I60" t="str">
        <f t="shared" si="3"/>
        <v>NO</v>
      </c>
    </row>
    <row r="61" spans="1:9" x14ac:dyDescent="0.25">
      <c r="A61">
        <f>INDEX(Dati_grezzi!$A$2:$D$151,57,MATCH($B$3,Dati_grezzi!$A$1:$D$1,0))</f>
        <v>6.3</v>
      </c>
      <c r="G61" t="str">
        <f t="shared" si="2"/>
        <v>NO</v>
      </c>
      <c r="H61">
        <f>(A61-AVERAGE(INDEX(Dati_grezzi!$A$2:$D$151,0,MATCH($B$3,Dati_grezzi!$A$1:$D$1,0))))/_xlfn.SINGLE(STDEV(INDEX(Dati_grezzi!$A$2:$D$151,0,MATCH($B$3,Dati_grezzi!$A$1:$D$1,0))))</f>
        <v>0.55148574641237369</v>
      </c>
      <c r="I61" t="str">
        <f t="shared" si="3"/>
        <v>NO</v>
      </c>
    </row>
    <row r="62" spans="1:9" x14ac:dyDescent="0.25">
      <c r="A62">
        <f>INDEX(Dati_grezzi!$A$2:$D$151,58,MATCH($B$3,Dati_grezzi!$A$1:$D$1,0))</f>
        <v>4.9000000000000004</v>
      </c>
      <c r="G62" t="str">
        <f t="shared" si="2"/>
        <v>NO</v>
      </c>
      <c r="H62">
        <f>(A62-AVERAGE(INDEX(Dati_grezzi!$A$2:$D$151,0,MATCH($B$3,Dati_grezzi!$A$1:$D$1,0))))/_xlfn.SINGLE(STDEV(INDEX(Dati_grezzi!$A$2:$D$151,0,MATCH($B$3,Dati_grezzi!$A$1:$D$1,0))))</f>
        <v>-1.1392004834649812</v>
      </c>
      <c r="I62" t="str">
        <f t="shared" si="3"/>
        <v>NO</v>
      </c>
    </row>
    <row r="63" spans="1:9" x14ac:dyDescent="0.25">
      <c r="A63">
        <f>INDEX(Dati_grezzi!$A$2:$D$151,59,MATCH($B$3,Dati_grezzi!$A$1:$D$1,0))</f>
        <v>6.6</v>
      </c>
      <c r="G63" t="str">
        <f t="shared" si="2"/>
        <v>NO</v>
      </c>
      <c r="H63">
        <f>(A63-AVERAGE(INDEX(Dati_grezzi!$A$2:$D$151,0,MATCH($B$3,Dati_grezzi!$A$1:$D$1,0))))/_xlfn.SINGLE(STDEV(INDEX(Dati_grezzi!$A$2:$D$151,0,MATCH($B$3,Dati_grezzi!$A$1:$D$1,0))))</f>
        <v>0.913775652814664</v>
      </c>
      <c r="I63" t="str">
        <f t="shared" si="3"/>
        <v>NO</v>
      </c>
    </row>
    <row r="64" spans="1:9" x14ac:dyDescent="0.25">
      <c r="A64">
        <f>INDEX(Dati_grezzi!$A$2:$D$151,60,MATCH($B$3,Dati_grezzi!$A$1:$D$1,0))</f>
        <v>5.2</v>
      </c>
      <c r="G64" t="str">
        <f t="shared" si="2"/>
        <v>NO</v>
      </c>
      <c r="H64">
        <f>(A64-AVERAGE(INDEX(Dati_grezzi!$A$2:$D$151,0,MATCH($B$3,Dati_grezzi!$A$1:$D$1,0))))/_xlfn.SINGLE(STDEV(INDEX(Dati_grezzi!$A$2:$D$151,0,MATCH($B$3,Dati_grezzi!$A$1:$D$1,0))))</f>
        <v>-0.77691057706269084</v>
      </c>
      <c r="I64" t="str">
        <f t="shared" si="3"/>
        <v>NO</v>
      </c>
    </row>
    <row r="65" spans="1:9" x14ac:dyDescent="0.25">
      <c r="A65">
        <f>INDEX(Dati_grezzi!$A$2:$D$151,61,MATCH($B$3,Dati_grezzi!$A$1:$D$1,0))</f>
        <v>5</v>
      </c>
      <c r="G65" t="str">
        <f t="shared" si="2"/>
        <v>NO</v>
      </c>
      <c r="H65">
        <f>(A65-AVERAGE(INDEX(Dati_grezzi!$A$2:$D$151,0,MATCH($B$3,Dati_grezzi!$A$1:$D$1,0))))/_xlfn.SINGLE(STDEV(INDEX(Dati_grezzi!$A$2:$D$151,0,MATCH($B$3,Dati_grezzi!$A$1:$D$1,0))))</f>
        <v>-1.0184371813308848</v>
      </c>
      <c r="I65" t="str">
        <f t="shared" si="3"/>
        <v>NO</v>
      </c>
    </row>
    <row r="66" spans="1:9" x14ac:dyDescent="0.25">
      <c r="A66">
        <f>INDEX(Dati_grezzi!$A$2:$D$151,62,MATCH($B$3,Dati_grezzi!$A$1:$D$1,0))</f>
        <v>5.9</v>
      </c>
      <c r="G66" t="str">
        <f t="shared" si="2"/>
        <v>NO</v>
      </c>
      <c r="H66">
        <f>(A66-AVERAGE(INDEX(Dati_grezzi!$A$2:$D$151,0,MATCH($B$3,Dati_grezzi!$A$1:$D$1,0))))/_xlfn.SINGLE(STDEV(INDEX(Dati_grezzi!$A$2:$D$151,0,MATCH($B$3,Dati_grezzi!$A$1:$D$1,0))))</f>
        <v>6.843253787598709E-2</v>
      </c>
      <c r="I66" t="str">
        <f t="shared" si="3"/>
        <v>NO</v>
      </c>
    </row>
    <row r="67" spans="1:9" x14ac:dyDescent="0.25">
      <c r="A67">
        <f>INDEX(Dati_grezzi!$A$2:$D$151,63,MATCH($B$3,Dati_grezzi!$A$1:$D$1,0))</f>
        <v>6</v>
      </c>
      <c r="G67" t="str">
        <f t="shared" si="2"/>
        <v>NO</v>
      </c>
      <c r="H67">
        <f>(A67-AVERAGE(INDEX(Dati_grezzi!$A$2:$D$151,0,MATCH($B$3,Dati_grezzi!$A$1:$D$1,0))))/_xlfn.SINGLE(STDEV(INDEX(Dati_grezzi!$A$2:$D$151,0,MATCH($B$3,Dati_grezzi!$A$1:$D$1,0))))</f>
        <v>0.18919584001008349</v>
      </c>
      <c r="I67" t="str">
        <f t="shared" si="3"/>
        <v>NO</v>
      </c>
    </row>
    <row r="68" spans="1:9" x14ac:dyDescent="0.25">
      <c r="A68">
        <f>INDEX(Dati_grezzi!$A$2:$D$151,64,MATCH($B$3,Dati_grezzi!$A$1:$D$1,0))</f>
        <v>6.1</v>
      </c>
      <c r="G68" t="str">
        <f t="shared" si="2"/>
        <v>NO</v>
      </c>
      <c r="H68">
        <f>(A68-AVERAGE(INDEX(Dati_grezzi!$A$2:$D$151,0,MATCH($B$3,Dati_grezzi!$A$1:$D$1,0))))/_xlfn.SINGLE(STDEV(INDEX(Dati_grezzi!$A$2:$D$151,0,MATCH($B$3,Dati_grezzi!$A$1:$D$1,0))))</f>
        <v>0.30995914214417986</v>
      </c>
      <c r="I68" t="str">
        <f t="shared" si="3"/>
        <v>NO</v>
      </c>
    </row>
    <row r="69" spans="1:9" x14ac:dyDescent="0.25">
      <c r="A69">
        <f>INDEX(Dati_grezzi!$A$2:$D$151,65,MATCH($B$3,Dati_grezzi!$A$1:$D$1,0))</f>
        <v>5.6</v>
      </c>
      <c r="G69" t="str">
        <f t="shared" ref="G69:G100" si="4">IF(OR(A69&lt;$E$5,A69&gt;$F$5),"YES","NO")</f>
        <v>NO</v>
      </c>
      <c r="H69">
        <f>(A69-AVERAGE(INDEX(Dati_grezzi!$A$2:$D$151,0,MATCH($B$3,Dati_grezzi!$A$1:$D$1,0))))/_xlfn.SINGLE(STDEV(INDEX(Dati_grezzi!$A$2:$D$151,0,MATCH($B$3,Dati_grezzi!$A$1:$D$1,0))))</f>
        <v>-0.29385736852630423</v>
      </c>
      <c r="I69" t="str">
        <f t="shared" ref="I69:I100" si="5">IF(ABS(H69)&gt;3,"YES","NO")</f>
        <v>NO</v>
      </c>
    </row>
    <row r="70" spans="1:9" x14ac:dyDescent="0.25">
      <c r="A70">
        <f>INDEX(Dati_grezzi!$A$2:$D$151,66,MATCH($B$3,Dati_grezzi!$A$1:$D$1,0))</f>
        <v>6.7</v>
      </c>
      <c r="G70" t="str">
        <f t="shared" si="4"/>
        <v>NO</v>
      </c>
      <c r="H70">
        <f>(A70-AVERAGE(INDEX(Dati_grezzi!$A$2:$D$151,0,MATCH($B$3,Dati_grezzi!$A$1:$D$1,0))))/_xlfn.SINGLE(STDEV(INDEX(Dati_grezzi!$A$2:$D$151,0,MATCH($B$3,Dati_grezzi!$A$1:$D$1,0))))</f>
        <v>1.0345389549487614</v>
      </c>
      <c r="I70" t="str">
        <f t="shared" si="5"/>
        <v>NO</v>
      </c>
    </row>
    <row r="71" spans="1:9" x14ac:dyDescent="0.25">
      <c r="A71">
        <f>INDEX(Dati_grezzi!$A$2:$D$151,67,MATCH($B$3,Dati_grezzi!$A$1:$D$1,0))</f>
        <v>5.6</v>
      </c>
      <c r="G71" t="str">
        <f t="shared" si="4"/>
        <v>NO</v>
      </c>
      <c r="H71">
        <f>(A71-AVERAGE(INDEX(Dati_grezzi!$A$2:$D$151,0,MATCH($B$3,Dati_grezzi!$A$1:$D$1,0))))/_xlfn.SINGLE(STDEV(INDEX(Dati_grezzi!$A$2:$D$151,0,MATCH($B$3,Dati_grezzi!$A$1:$D$1,0))))</f>
        <v>-0.29385736852630423</v>
      </c>
      <c r="I71" t="str">
        <f t="shared" si="5"/>
        <v>NO</v>
      </c>
    </row>
    <row r="72" spans="1:9" x14ac:dyDescent="0.25">
      <c r="A72">
        <f>INDEX(Dati_grezzi!$A$2:$D$151,68,MATCH($B$3,Dati_grezzi!$A$1:$D$1,0))</f>
        <v>5.8</v>
      </c>
      <c r="G72" t="str">
        <f t="shared" si="4"/>
        <v>NO</v>
      </c>
      <c r="H72">
        <f>(A72-AVERAGE(INDEX(Dati_grezzi!$A$2:$D$151,0,MATCH($B$3,Dati_grezzi!$A$1:$D$1,0))))/_xlfn.SINGLE(STDEV(INDEX(Dati_grezzi!$A$2:$D$151,0,MATCH($B$3,Dati_grezzi!$A$1:$D$1,0))))</f>
        <v>-5.2330764258110368E-2</v>
      </c>
      <c r="I72" t="str">
        <f t="shared" si="5"/>
        <v>NO</v>
      </c>
    </row>
    <row r="73" spans="1:9" x14ac:dyDescent="0.25">
      <c r="A73">
        <f>INDEX(Dati_grezzi!$A$2:$D$151,69,MATCH($B$3,Dati_grezzi!$A$1:$D$1,0))</f>
        <v>6.2</v>
      </c>
      <c r="G73" t="str">
        <f t="shared" si="4"/>
        <v>NO</v>
      </c>
      <c r="H73">
        <f>(A73-AVERAGE(INDEX(Dati_grezzi!$A$2:$D$151,0,MATCH($B$3,Dati_grezzi!$A$1:$D$1,0))))/_xlfn.SINGLE(STDEV(INDEX(Dati_grezzi!$A$2:$D$151,0,MATCH($B$3,Dati_grezzi!$A$1:$D$1,0))))</f>
        <v>0.43072244427827733</v>
      </c>
      <c r="I73" t="str">
        <f t="shared" si="5"/>
        <v>NO</v>
      </c>
    </row>
    <row r="74" spans="1:9" x14ac:dyDescent="0.25">
      <c r="A74">
        <f>INDEX(Dati_grezzi!$A$2:$D$151,70,MATCH($B$3,Dati_grezzi!$A$1:$D$1,0))</f>
        <v>5.6</v>
      </c>
      <c r="G74" t="str">
        <f t="shared" si="4"/>
        <v>NO</v>
      </c>
      <c r="H74">
        <f>(A74-AVERAGE(INDEX(Dati_grezzi!$A$2:$D$151,0,MATCH($B$3,Dati_grezzi!$A$1:$D$1,0))))/_xlfn.SINGLE(STDEV(INDEX(Dati_grezzi!$A$2:$D$151,0,MATCH($B$3,Dati_grezzi!$A$1:$D$1,0))))</f>
        <v>-0.29385736852630423</v>
      </c>
      <c r="I74" t="str">
        <f t="shared" si="5"/>
        <v>NO</v>
      </c>
    </row>
    <row r="75" spans="1:9" x14ac:dyDescent="0.25">
      <c r="A75">
        <f>INDEX(Dati_grezzi!$A$2:$D$151,71,MATCH($B$3,Dati_grezzi!$A$1:$D$1,0))</f>
        <v>5.9</v>
      </c>
      <c r="G75" t="str">
        <f t="shared" si="4"/>
        <v>NO</v>
      </c>
      <c r="H75">
        <f>(A75-AVERAGE(INDEX(Dati_grezzi!$A$2:$D$151,0,MATCH($B$3,Dati_grezzi!$A$1:$D$1,0))))/_xlfn.SINGLE(STDEV(INDEX(Dati_grezzi!$A$2:$D$151,0,MATCH($B$3,Dati_grezzi!$A$1:$D$1,0))))</f>
        <v>6.843253787598709E-2</v>
      </c>
      <c r="I75" t="str">
        <f t="shared" si="5"/>
        <v>NO</v>
      </c>
    </row>
    <row r="76" spans="1:9" x14ac:dyDescent="0.25">
      <c r="A76">
        <f>INDEX(Dati_grezzi!$A$2:$D$151,72,MATCH($B$3,Dati_grezzi!$A$1:$D$1,0))</f>
        <v>6.1</v>
      </c>
      <c r="G76" t="str">
        <f t="shared" si="4"/>
        <v>NO</v>
      </c>
      <c r="H76">
        <f>(A76-AVERAGE(INDEX(Dati_grezzi!$A$2:$D$151,0,MATCH($B$3,Dati_grezzi!$A$1:$D$1,0))))/_xlfn.SINGLE(STDEV(INDEX(Dati_grezzi!$A$2:$D$151,0,MATCH($B$3,Dati_grezzi!$A$1:$D$1,0))))</f>
        <v>0.30995914214417986</v>
      </c>
      <c r="I76" t="str">
        <f t="shared" si="5"/>
        <v>NO</v>
      </c>
    </row>
    <row r="77" spans="1:9" x14ac:dyDescent="0.25">
      <c r="A77">
        <f>INDEX(Dati_grezzi!$A$2:$D$151,73,MATCH($B$3,Dati_grezzi!$A$1:$D$1,0))</f>
        <v>6.3</v>
      </c>
      <c r="G77" t="str">
        <f t="shared" si="4"/>
        <v>NO</v>
      </c>
      <c r="H77">
        <f>(A77-AVERAGE(INDEX(Dati_grezzi!$A$2:$D$151,0,MATCH($B$3,Dati_grezzi!$A$1:$D$1,0))))/_xlfn.SINGLE(STDEV(INDEX(Dati_grezzi!$A$2:$D$151,0,MATCH($B$3,Dati_grezzi!$A$1:$D$1,0))))</f>
        <v>0.55148574641237369</v>
      </c>
      <c r="I77" t="str">
        <f t="shared" si="5"/>
        <v>NO</v>
      </c>
    </row>
    <row r="78" spans="1:9" x14ac:dyDescent="0.25">
      <c r="A78">
        <f>INDEX(Dati_grezzi!$A$2:$D$151,74,MATCH($B$3,Dati_grezzi!$A$1:$D$1,0))</f>
        <v>6.1</v>
      </c>
      <c r="G78" t="str">
        <f t="shared" si="4"/>
        <v>NO</v>
      </c>
      <c r="H78">
        <f>(A78-AVERAGE(INDEX(Dati_grezzi!$A$2:$D$151,0,MATCH($B$3,Dati_grezzi!$A$1:$D$1,0))))/_xlfn.SINGLE(STDEV(INDEX(Dati_grezzi!$A$2:$D$151,0,MATCH($B$3,Dati_grezzi!$A$1:$D$1,0))))</f>
        <v>0.30995914214417986</v>
      </c>
      <c r="I78" t="str">
        <f t="shared" si="5"/>
        <v>NO</v>
      </c>
    </row>
    <row r="79" spans="1:9" x14ac:dyDescent="0.25">
      <c r="A79">
        <f>INDEX(Dati_grezzi!$A$2:$D$151,75,MATCH($B$3,Dati_grezzi!$A$1:$D$1,0))</f>
        <v>6.4</v>
      </c>
      <c r="G79" t="str">
        <f t="shared" si="4"/>
        <v>NO</v>
      </c>
      <c r="H79">
        <f>(A79-AVERAGE(INDEX(Dati_grezzi!$A$2:$D$151,0,MATCH($B$3,Dati_grezzi!$A$1:$D$1,0))))/_xlfn.SINGLE(STDEV(INDEX(Dati_grezzi!$A$2:$D$151,0,MATCH($B$3,Dati_grezzi!$A$1:$D$1,0))))</f>
        <v>0.67224904854647116</v>
      </c>
      <c r="I79" t="str">
        <f t="shared" si="5"/>
        <v>NO</v>
      </c>
    </row>
    <row r="80" spans="1:9" x14ac:dyDescent="0.25">
      <c r="A80">
        <f>INDEX(Dati_grezzi!$A$2:$D$151,76,MATCH($B$3,Dati_grezzi!$A$1:$D$1,0))</f>
        <v>6.6</v>
      </c>
      <c r="G80" t="str">
        <f t="shared" si="4"/>
        <v>NO</v>
      </c>
      <c r="H80">
        <f>(A80-AVERAGE(INDEX(Dati_grezzi!$A$2:$D$151,0,MATCH($B$3,Dati_grezzi!$A$1:$D$1,0))))/_xlfn.SINGLE(STDEV(INDEX(Dati_grezzi!$A$2:$D$151,0,MATCH($B$3,Dati_grezzi!$A$1:$D$1,0))))</f>
        <v>0.913775652814664</v>
      </c>
      <c r="I80" t="str">
        <f t="shared" si="5"/>
        <v>NO</v>
      </c>
    </row>
    <row r="81" spans="1:9" x14ac:dyDescent="0.25">
      <c r="A81">
        <f>INDEX(Dati_grezzi!$A$2:$D$151,77,MATCH($B$3,Dati_grezzi!$A$1:$D$1,0))</f>
        <v>6.8</v>
      </c>
      <c r="G81" t="str">
        <f t="shared" si="4"/>
        <v>NO</v>
      </c>
      <c r="H81">
        <f>(A81-AVERAGE(INDEX(Dati_grezzi!$A$2:$D$151,0,MATCH($B$3,Dati_grezzi!$A$1:$D$1,0))))/_xlfn.SINGLE(STDEV(INDEX(Dati_grezzi!$A$2:$D$151,0,MATCH($B$3,Dati_grezzi!$A$1:$D$1,0))))</f>
        <v>1.1553022570828579</v>
      </c>
      <c r="I81" t="str">
        <f t="shared" si="5"/>
        <v>NO</v>
      </c>
    </row>
    <row r="82" spans="1:9" x14ac:dyDescent="0.25">
      <c r="A82">
        <f>INDEX(Dati_grezzi!$A$2:$D$151,78,MATCH($B$3,Dati_grezzi!$A$1:$D$1,0))</f>
        <v>6.7</v>
      </c>
      <c r="G82" t="str">
        <f t="shared" si="4"/>
        <v>NO</v>
      </c>
      <c r="H82">
        <f>(A82-AVERAGE(INDEX(Dati_grezzi!$A$2:$D$151,0,MATCH($B$3,Dati_grezzi!$A$1:$D$1,0))))/_xlfn.SINGLE(STDEV(INDEX(Dati_grezzi!$A$2:$D$151,0,MATCH($B$3,Dati_grezzi!$A$1:$D$1,0))))</f>
        <v>1.0345389549487614</v>
      </c>
      <c r="I82" t="str">
        <f t="shared" si="5"/>
        <v>NO</v>
      </c>
    </row>
    <row r="83" spans="1:9" x14ac:dyDescent="0.25">
      <c r="A83">
        <f>INDEX(Dati_grezzi!$A$2:$D$151,79,MATCH($B$3,Dati_grezzi!$A$1:$D$1,0))</f>
        <v>6</v>
      </c>
      <c r="G83" t="str">
        <f t="shared" si="4"/>
        <v>NO</v>
      </c>
      <c r="H83">
        <f>(A83-AVERAGE(INDEX(Dati_grezzi!$A$2:$D$151,0,MATCH($B$3,Dati_grezzi!$A$1:$D$1,0))))/_xlfn.SINGLE(STDEV(INDEX(Dati_grezzi!$A$2:$D$151,0,MATCH($B$3,Dati_grezzi!$A$1:$D$1,0))))</f>
        <v>0.18919584001008349</v>
      </c>
      <c r="I83" t="str">
        <f t="shared" si="5"/>
        <v>NO</v>
      </c>
    </row>
    <row r="84" spans="1:9" x14ac:dyDescent="0.25">
      <c r="A84">
        <f>INDEX(Dati_grezzi!$A$2:$D$151,80,MATCH($B$3,Dati_grezzi!$A$1:$D$1,0))</f>
        <v>5.7</v>
      </c>
      <c r="G84" t="str">
        <f t="shared" si="4"/>
        <v>NO</v>
      </c>
      <c r="H84">
        <f>(A84-AVERAGE(INDEX(Dati_grezzi!$A$2:$D$151,0,MATCH($B$3,Dati_grezzi!$A$1:$D$1,0))))/_xlfn.SINGLE(STDEV(INDEX(Dati_grezzi!$A$2:$D$151,0,MATCH($B$3,Dati_grezzi!$A$1:$D$1,0))))</f>
        <v>-0.17309406639220676</v>
      </c>
      <c r="I84" t="str">
        <f t="shared" si="5"/>
        <v>NO</v>
      </c>
    </row>
    <row r="85" spans="1:9" x14ac:dyDescent="0.25">
      <c r="A85">
        <f>INDEX(Dati_grezzi!$A$2:$D$151,81,MATCH($B$3,Dati_grezzi!$A$1:$D$1,0))</f>
        <v>5.5</v>
      </c>
      <c r="G85" t="str">
        <f t="shared" si="4"/>
        <v>NO</v>
      </c>
      <c r="H85">
        <f>(A85-AVERAGE(INDEX(Dati_grezzi!$A$2:$D$151,0,MATCH($B$3,Dati_grezzi!$A$1:$D$1,0))))/_xlfn.SINGLE(STDEV(INDEX(Dati_grezzi!$A$2:$D$151,0,MATCH($B$3,Dati_grezzi!$A$1:$D$1,0))))</f>
        <v>-0.41462067066040059</v>
      </c>
      <c r="I85" t="str">
        <f t="shared" si="5"/>
        <v>NO</v>
      </c>
    </row>
    <row r="86" spans="1:9" x14ac:dyDescent="0.25">
      <c r="A86">
        <f>INDEX(Dati_grezzi!$A$2:$D$151,82,MATCH($B$3,Dati_grezzi!$A$1:$D$1,0))</f>
        <v>5.5</v>
      </c>
      <c r="G86" t="str">
        <f t="shared" si="4"/>
        <v>NO</v>
      </c>
      <c r="H86">
        <f>(A86-AVERAGE(INDEX(Dati_grezzi!$A$2:$D$151,0,MATCH($B$3,Dati_grezzi!$A$1:$D$1,0))))/_xlfn.SINGLE(STDEV(INDEX(Dati_grezzi!$A$2:$D$151,0,MATCH($B$3,Dati_grezzi!$A$1:$D$1,0))))</f>
        <v>-0.41462067066040059</v>
      </c>
      <c r="I86" t="str">
        <f t="shared" si="5"/>
        <v>NO</v>
      </c>
    </row>
    <row r="87" spans="1:9" x14ac:dyDescent="0.25">
      <c r="A87">
        <f>INDEX(Dati_grezzi!$A$2:$D$151,83,MATCH($B$3,Dati_grezzi!$A$1:$D$1,0))</f>
        <v>5.8</v>
      </c>
      <c r="G87" t="str">
        <f t="shared" si="4"/>
        <v>NO</v>
      </c>
      <c r="H87">
        <f>(A87-AVERAGE(INDEX(Dati_grezzi!$A$2:$D$151,0,MATCH($B$3,Dati_grezzi!$A$1:$D$1,0))))/_xlfn.SINGLE(STDEV(INDEX(Dati_grezzi!$A$2:$D$151,0,MATCH($B$3,Dati_grezzi!$A$1:$D$1,0))))</f>
        <v>-5.2330764258110368E-2</v>
      </c>
      <c r="I87" t="str">
        <f t="shared" si="5"/>
        <v>NO</v>
      </c>
    </row>
    <row r="88" spans="1:9" x14ac:dyDescent="0.25">
      <c r="A88">
        <f>INDEX(Dati_grezzi!$A$2:$D$151,84,MATCH($B$3,Dati_grezzi!$A$1:$D$1,0))</f>
        <v>6</v>
      </c>
      <c r="G88" t="str">
        <f t="shared" si="4"/>
        <v>NO</v>
      </c>
      <c r="H88">
        <f>(A88-AVERAGE(INDEX(Dati_grezzi!$A$2:$D$151,0,MATCH($B$3,Dati_grezzi!$A$1:$D$1,0))))/_xlfn.SINGLE(STDEV(INDEX(Dati_grezzi!$A$2:$D$151,0,MATCH($B$3,Dati_grezzi!$A$1:$D$1,0))))</f>
        <v>0.18919584001008349</v>
      </c>
      <c r="I88" t="str">
        <f t="shared" si="5"/>
        <v>NO</v>
      </c>
    </row>
    <row r="89" spans="1:9" x14ac:dyDescent="0.25">
      <c r="A89">
        <f>INDEX(Dati_grezzi!$A$2:$D$151,85,MATCH($B$3,Dati_grezzi!$A$1:$D$1,0))</f>
        <v>5.4</v>
      </c>
      <c r="G89" t="str">
        <f t="shared" si="4"/>
        <v>NO</v>
      </c>
      <c r="H89">
        <f>(A89-AVERAGE(INDEX(Dati_grezzi!$A$2:$D$151,0,MATCH($B$3,Dati_grezzi!$A$1:$D$1,0))))/_xlfn.SINGLE(STDEV(INDEX(Dati_grezzi!$A$2:$D$151,0,MATCH($B$3,Dati_grezzi!$A$1:$D$1,0))))</f>
        <v>-0.53538397279449701</v>
      </c>
      <c r="I89" t="str">
        <f t="shared" si="5"/>
        <v>NO</v>
      </c>
    </row>
    <row r="90" spans="1:9" x14ac:dyDescent="0.25">
      <c r="A90">
        <f>INDEX(Dati_grezzi!$A$2:$D$151,86,MATCH($B$3,Dati_grezzi!$A$1:$D$1,0))</f>
        <v>6</v>
      </c>
      <c r="G90" t="str">
        <f t="shared" si="4"/>
        <v>NO</v>
      </c>
      <c r="H90">
        <f>(A90-AVERAGE(INDEX(Dati_grezzi!$A$2:$D$151,0,MATCH($B$3,Dati_grezzi!$A$1:$D$1,0))))/_xlfn.SINGLE(STDEV(INDEX(Dati_grezzi!$A$2:$D$151,0,MATCH($B$3,Dati_grezzi!$A$1:$D$1,0))))</f>
        <v>0.18919584001008349</v>
      </c>
      <c r="I90" t="str">
        <f t="shared" si="5"/>
        <v>NO</v>
      </c>
    </row>
    <row r="91" spans="1:9" x14ac:dyDescent="0.25">
      <c r="A91">
        <f>INDEX(Dati_grezzi!$A$2:$D$151,87,MATCH($B$3,Dati_grezzi!$A$1:$D$1,0))</f>
        <v>6.7</v>
      </c>
      <c r="G91" t="str">
        <f t="shared" si="4"/>
        <v>NO</v>
      </c>
      <c r="H91">
        <f>(A91-AVERAGE(INDEX(Dati_grezzi!$A$2:$D$151,0,MATCH($B$3,Dati_grezzi!$A$1:$D$1,0))))/_xlfn.SINGLE(STDEV(INDEX(Dati_grezzi!$A$2:$D$151,0,MATCH($B$3,Dati_grezzi!$A$1:$D$1,0))))</f>
        <v>1.0345389549487614</v>
      </c>
      <c r="I91" t="str">
        <f t="shared" si="5"/>
        <v>NO</v>
      </c>
    </row>
    <row r="92" spans="1:9" x14ac:dyDescent="0.25">
      <c r="A92">
        <f>INDEX(Dati_grezzi!$A$2:$D$151,88,MATCH($B$3,Dati_grezzi!$A$1:$D$1,0))</f>
        <v>6.3</v>
      </c>
      <c r="G92" t="str">
        <f t="shared" si="4"/>
        <v>NO</v>
      </c>
      <c r="H92">
        <f>(A92-AVERAGE(INDEX(Dati_grezzi!$A$2:$D$151,0,MATCH($B$3,Dati_grezzi!$A$1:$D$1,0))))/_xlfn.SINGLE(STDEV(INDEX(Dati_grezzi!$A$2:$D$151,0,MATCH($B$3,Dati_grezzi!$A$1:$D$1,0))))</f>
        <v>0.55148574641237369</v>
      </c>
      <c r="I92" t="str">
        <f t="shared" si="5"/>
        <v>NO</v>
      </c>
    </row>
    <row r="93" spans="1:9" x14ac:dyDescent="0.25">
      <c r="A93">
        <f>INDEX(Dati_grezzi!$A$2:$D$151,89,MATCH($B$3,Dati_grezzi!$A$1:$D$1,0))</f>
        <v>5.6</v>
      </c>
      <c r="G93" t="str">
        <f t="shared" si="4"/>
        <v>NO</v>
      </c>
      <c r="H93">
        <f>(A93-AVERAGE(INDEX(Dati_grezzi!$A$2:$D$151,0,MATCH($B$3,Dati_grezzi!$A$1:$D$1,0))))/_xlfn.SINGLE(STDEV(INDEX(Dati_grezzi!$A$2:$D$151,0,MATCH($B$3,Dati_grezzi!$A$1:$D$1,0))))</f>
        <v>-0.29385736852630423</v>
      </c>
      <c r="I93" t="str">
        <f t="shared" si="5"/>
        <v>NO</v>
      </c>
    </row>
    <row r="94" spans="1:9" x14ac:dyDescent="0.25">
      <c r="A94">
        <f>INDEX(Dati_grezzi!$A$2:$D$151,90,MATCH($B$3,Dati_grezzi!$A$1:$D$1,0))</f>
        <v>5.5</v>
      </c>
      <c r="G94" t="str">
        <f t="shared" si="4"/>
        <v>NO</v>
      </c>
      <c r="H94">
        <f>(A94-AVERAGE(INDEX(Dati_grezzi!$A$2:$D$151,0,MATCH($B$3,Dati_grezzi!$A$1:$D$1,0))))/_xlfn.SINGLE(STDEV(INDEX(Dati_grezzi!$A$2:$D$151,0,MATCH($B$3,Dati_grezzi!$A$1:$D$1,0))))</f>
        <v>-0.41462067066040059</v>
      </c>
      <c r="I94" t="str">
        <f t="shared" si="5"/>
        <v>NO</v>
      </c>
    </row>
    <row r="95" spans="1:9" x14ac:dyDescent="0.25">
      <c r="A95">
        <f>INDEX(Dati_grezzi!$A$2:$D$151,91,MATCH($B$3,Dati_grezzi!$A$1:$D$1,0))</f>
        <v>5.5</v>
      </c>
      <c r="G95" t="str">
        <f t="shared" si="4"/>
        <v>NO</v>
      </c>
      <c r="H95">
        <f>(A95-AVERAGE(INDEX(Dati_grezzi!$A$2:$D$151,0,MATCH($B$3,Dati_grezzi!$A$1:$D$1,0))))/_xlfn.SINGLE(STDEV(INDEX(Dati_grezzi!$A$2:$D$151,0,MATCH($B$3,Dati_grezzi!$A$1:$D$1,0))))</f>
        <v>-0.41462067066040059</v>
      </c>
      <c r="I95" t="str">
        <f t="shared" si="5"/>
        <v>NO</v>
      </c>
    </row>
    <row r="96" spans="1:9" x14ac:dyDescent="0.25">
      <c r="A96">
        <f>INDEX(Dati_grezzi!$A$2:$D$151,92,MATCH($B$3,Dati_grezzi!$A$1:$D$1,0))</f>
        <v>6.1</v>
      </c>
      <c r="G96" t="str">
        <f t="shared" si="4"/>
        <v>NO</v>
      </c>
      <c r="H96">
        <f>(A96-AVERAGE(INDEX(Dati_grezzi!$A$2:$D$151,0,MATCH($B$3,Dati_grezzi!$A$1:$D$1,0))))/_xlfn.SINGLE(STDEV(INDEX(Dati_grezzi!$A$2:$D$151,0,MATCH($B$3,Dati_grezzi!$A$1:$D$1,0))))</f>
        <v>0.30995914214417986</v>
      </c>
      <c r="I96" t="str">
        <f t="shared" si="5"/>
        <v>NO</v>
      </c>
    </row>
    <row r="97" spans="1:9" x14ac:dyDescent="0.25">
      <c r="A97">
        <f>INDEX(Dati_grezzi!$A$2:$D$151,93,MATCH($B$3,Dati_grezzi!$A$1:$D$1,0))</f>
        <v>5.8</v>
      </c>
      <c r="G97" t="str">
        <f t="shared" si="4"/>
        <v>NO</v>
      </c>
      <c r="H97">
        <f>(A97-AVERAGE(INDEX(Dati_grezzi!$A$2:$D$151,0,MATCH($B$3,Dati_grezzi!$A$1:$D$1,0))))/_xlfn.SINGLE(STDEV(INDEX(Dati_grezzi!$A$2:$D$151,0,MATCH($B$3,Dati_grezzi!$A$1:$D$1,0))))</f>
        <v>-5.2330764258110368E-2</v>
      </c>
      <c r="I97" t="str">
        <f t="shared" si="5"/>
        <v>NO</v>
      </c>
    </row>
    <row r="98" spans="1:9" x14ac:dyDescent="0.25">
      <c r="A98">
        <f>INDEX(Dati_grezzi!$A$2:$D$151,94,MATCH($B$3,Dati_grezzi!$A$1:$D$1,0))</f>
        <v>5</v>
      </c>
      <c r="G98" t="str">
        <f t="shared" si="4"/>
        <v>NO</v>
      </c>
      <c r="H98">
        <f>(A98-AVERAGE(INDEX(Dati_grezzi!$A$2:$D$151,0,MATCH($B$3,Dati_grezzi!$A$1:$D$1,0))))/_xlfn.SINGLE(STDEV(INDEX(Dati_grezzi!$A$2:$D$151,0,MATCH($B$3,Dati_grezzi!$A$1:$D$1,0))))</f>
        <v>-1.0184371813308848</v>
      </c>
      <c r="I98" t="str">
        <f t="shared" si="5"/>
        <v>NO</v>
      </c>
    </row>
    <row r="99" spans="1:9" x14ac:dyDescent="0.25">
      <c r="A99">
        <f>INDEX(Dati_grezzi!$A$2:$D$151,95,MATCH($B$3,Dati_grezzi!$A$1:$D$1,0))</f>
        <v>5.6</v>
      </c>
      <c r="G99" t="str">
        <f t="shared" si="4"/>
        <v>NO</v>
      </c>
      <c r="H99">
        <f>(A99-AVERAGE(INDEX(Dati_grezzi!$A$2:$D$151,0,MATCH($B$3,Dati_grezzi!$A$1:$D$1,0))))/_xlfn.SINGLE(STDEV(INDEX(Dati_grezzi!$A$2:$D$151,0,MATCH($B$3,Dati_grezzi!$A$1:$D$1,0))))</f>
        <v>-0.29385736852630423</v>
      </c>
      <c r="I99" t="str">
        <f t="shared" si="5"/>
        <v>NO</v>
      </c>
    </row>
    <row r="100" spans="1:9" x14ac:dyDescent="0.25">
      <c r="A100">
        <f>INDEX(Dati_grezzi!$A$2:$D$151,96,MATCH($B$3,Dati_grezzi!$A$1:$D$1,0))</f>
        <v>5.7</v>
      </c>
      <c r="G100" t="str">
        <f t="shared" si="4"/>
        <v>NO</v>
      </c>
      <c r="H100">
        <f>(A100-AVERAGE(INDEX(Dati_grezzi!$A$2:$D$151,0,MATCH($B$3,Dati_grezzi!$A$1:$D$1,0))))/_xlfn.SINGLE(STDEV(INDEX(Dati_grezzi!$A$2:$D$151,0,MATCH($B$3,Dati_grezzi!$A$1:$D$1,0))))</f>
        <v>-0.17309406639220676</v>
      </c>
      <c r="I100" t="str">
        <f t="shared" si="5"/>
        <v>NO</v>
      </c>
    </row>
    <row r="101" spans="1:9" x14ac:dyDescent="0.25">
      <c r="A101">
        <f>INDEX(Dati_grezzi!$A$2:$D$151,97,MATCH($B$3,Dati_grezzi!$A$1:$D$1,0))</f>
        <v>5.7</v>
      </c>
      <c r="G101" t="str">
        <f t="shared" ref="G101:G132" si="6">IF(OR(A101&lt;$E$5,A101&gt;$F$5),"YES","NO")</f>
        <v>NO</v>
      </c>
      <c r="H101">
        <f>(A101-AVERAGE(INDEX(Dati_grezzi!$A$2:$D$151,0,MATCH($B$3,Dati_grezzi!$A$1:$D$1,0))))/_xlfn.SINGLE(STDEV(INDEX(Dati_grezzi!$A$2:$D$151,0,MATCH($B$3,Dati_grezzi!$A$1:$D$1,0))))</f>
        <v>-0.17309406639220676</v>
      </c>
      <c r="I101" t="str">
        <f t="shared" ref="I101:I132" si="7">IF(ABS(H101)&gt;3,"YES","NO")</f>
        <v>NO</v>
      </c>
    </row>
    <row r="102" spans="1:9" x14ac:dyDescent="0.25">
      <c r="A102">
        <f>INDEX(Dati_grezzi!$A$2:$D$151,98,MATCH($B$3,Dati_grezzi!$A$1:$D$1,0))</f>
        <v>6.2</v>
      </c>
      <c r="G102" t="str">
        <f t="shared" si="6"/>
        <v>NO</v>
      </c>
      <c r="H102">
        <f>(A102-AVERAGE(INDEX(Dati_grezzi!$A$2:$D$151,0,MATCH($B$3,Dati_grezzi!$A$1:$D$1,0))))/_xlfn.SINGLE(STDEV(INDEX(Dati_grezzi!$A$2:$D$151,0,MATCH($B$3,Dati_grezzi!$A$1:$D$1,0))))</f>
        <v>0.43072244427827733</v>
      </c>
      <c r="I102" t="str">
        <f t="shared" si="7"/>
        <v>NO</v>
      </c>
    </row>
    <row r="103" spans="1:9" x14ac:dyDescent="0.25">
      <c r="A103">
        <f>INDEX(Dati_grezzi!$A$2:$D$151,99,MATCH($B$3,Dati_grezzi!$A$1:$D$1,0))</f>
        <v>5.0999999999999996</v>
      </c>
      <c r="G103" t="str">
        <f t="shared" si="6"/>
        <v>NO</v>
      </c>
      <c r="H103">
        <f>(A103-AVERAGE(INDEX(Dati_grezzi!$A$2:$D$151,0,MATCH($B$3,Dati_grezzi!$A$1:$D$1,0))))/_xlfn.SINGLE(STDEV(INDEX(Dati_grezzi!$A$2:$D$151,0,MATCH($B$3,Dati_grezzi!$A$1:$D$1,0))))</f>
        <v>-0.89767387919678832</v>
      </c>
      <c r="I103" t="str">
        <f t="shared" si="7"/>
        <v>NO</v>
      </c>
    </row>
    <row r="104" spans="1:9" x14ac:dyDescent="0.25">
      <c r="A104">
        <f>INDEX(Dati_grezzi!$A$2:$D$151,100,MATCH($B$3,Dati_grezzi!$A$1:$D$1,0))</f>
        <v>5.7</v>
      </c>
      <c r="G104" t="str">
        <f t="shared" si="6"/>
        <v>NO</v>
      </c>
      <c r="H104">
        <f>(A104-AVERAGE(INDEX(Dati_grezzi!$A$2:$D$151,0,MATCH($B$3,Dati_grezzi!$A$1:$D$1,0))))/_xlfn.SINGLE(STDEV(INDEX(Dati_grezzi!$A$2:$D$151,0,MATCH($B$3,Dati_grezzi!$A$1:$D$1,0))))</f>
        <v>-0.17309406639220676</v>
      </c>
      <c r="I104" t="str">
        <f t="shared" si="7"/>
        <v>NO</v>
      </c>
    </row>
    <row r="105" spans="1:9" x14ac:dyDescent="0.25">
      <c r="A105">
        <f>INDEX(Dati_grezzi!$A$2:$D$151,101,MATCH($B$3,Dati_grezzi!$A$1:$D$1,0))</f>
        <v>6.3</v>
      </c>
      <c r="G105" t="str">
        <f t="shared" si="6"/>
        <v>NO</v>
      </c>
      <c r="H105">
        <f>(A105-AVERAGE(INDEX(Dati_grezzi!$A$2:$D$151,0,MATCH($B$3,Dati_grezzi!$A$1:$D$1,0))))/_xlfn.SINGLE(STDEV(INDEX(Dati_grezzi!$A$2:$D$151,0,MATCH($B$3,Dati_grezzi!$A$1:$D$1,0))))</f>
        <v>0.55148574641237369</v>
      </c>
      <c r="I105" t="str">
        <f t="shared" si="7"/>
        <v>NO</v>
      </c>
    </row>
    <row r="106" spans="1:9" x14ac:dyDescent="0.25">
      <c r="A106">
        <f>INDEX(Dati_grezzi!$A$2:$D$151,102,MATCH($B$3,Dati_grezzi!$A$1:$D$1,0))</f>
        <v>5.8</v>
      </c>
      <c r="G106" t="str">
        <f t="shared" si="6"/>
        <v>NO</v>
      </c>
      <c r="H106">
        <f>(A106-AVERAGE(INDEX(Dati_grezzi!$A$2:$D$151,0,MATCH($B$3,Dati_grezzi!$A$1:$D$1,0))))/_xlfn.SINGLE(STDEV(INDEX(Dati_grezzi!$A$2:$D$151,0,MATCH($B$3,Dati_grezzi!$A$1:$D$1,0))))</f>
        <v>-5.2330764258110368E-2</v>
      </c>
      <c r="I106" t="str">
        <f t="shared" si="7"/>
        <v>NO</v>
      </c>
    </row>
    <row r="107" spans="1:9" x14ac:dyDescent="0.25">
      <c r="A107">
        <f>INDEX(Dati_grezzi!$A$2:$D$151,103,MATCH($B$3,Dati_grezzi!$A$1:$D$1,0))</f>
        <v>7.1</v>
      </c>
      <c r="G107" t="str">
        <f t="shared" si="6"/>
        <v>NO</v>
      </c>
      <c r="H107">
        <f>(A107-AVERAGE(INDEX(Dati_grezzi!$A$2:$D$151,0,MATCH($B$3,Dati_grezzi!$A$1:$D$1,0))))/_xlfn.SINGLE(STDEV(INDEX(Dati_grezzi!$A$2:$D$151,0,MATCH($B$3,Dati_grezzi!$A$1:$D$1,0))))</f>
        <v>1.5175921634851481</v>
      </c>
      <c r="I107" t="str">
        <f t="shared" si="7"/>
        <v>NO</v>
      </c>
    </row>
    <row r="108" spans="1:9" x14ac:dyDescent="0.25">
      <c r="A108">
        <f>INDEX(Dati_grezzi!$A$2:$D$151,104,MATCH($B$3,Dati_grezzi!$A$1:$D$1,0))</f>
        <v>6.3</v>
      </c>
      <c r="G108" t="str">
        <f t="shared" si="6"/>
        <v>NO</v>
      </c>
      <c r="H108">
        <f>(A108-AVERAGE(INDEX(Dati_grezzi!$A$2:$D$151,0,MATCH($B$3,Dati_grezzi!$A$1:$D$1,0))))/_xlfn.SINGLE(STDEV(INDEX(Dati_grezzi!$A$2:$D$151,0,MATCH($B$3,Dati_grezzi!$A$1:$D$1,0))))</f>
        <v>0.55148574641237369</v>
      </c>
      <c r="I108" t="str">
        <f t="shared" si="7"/>
        <v>NO</v>
      </c>
    </row>
    <row r="109" spans="1:9" x14ac:dyDescent="0.25">
      <c r="A109">
        <f>INDEX(Dati_grezzi!$A$2:$D$151,105,MATCH($B$3,Dati_grezzi!$A$1:$D$1,0))</f>
        <v>6.5</v>
      </c>
      <c r="G109" t="str">
        <f t="shared" si="6"/>
        <v>NO</v>
      </c>
      <c r="H109">
        <f>(A109-AVERAGE(INDEX(Dati_grezzi!$A$2:$D$151,0,MATCH($B$3,Dati_grezzi!$A$1:$D$1,0))))/_xlfn.SINGLE(STDEV(INDEX(Dati_grezzi!$A$2:$D$151,0,MATCH($B$3,Dati_grezzi!$A$1:$D$1,0))))</f>
        <v>0.79301235068056763</v>
      </c>
      <c r="I109" t="str">
        <f t="shared" si="7"/>
        <v>NO</v>
      </c>
    </row>
    <row r="110" spans="1:9" x14ac:dyDescent="0.25">
      <c r="A110">
        <f>INDEX(Dati_grezzi!$A$2:$D$151,106,MATCH($B$3,Dati_grezzi!$A$1:$D$1,0))</f>
        <v>7.6</v>
      </c>
      <c r="G110" t="str">
        <f t="shared" si="6"/>
        <v>NO</v>
      </c>
      <c r="H110">
        <f>(A110-AVERAGE(INDEX(Dati_grezzi!$A$2:$D$151,0,MATCH($B$3,Dati_grezzi!$A$1:$D$1,0))))/_xlfn.SINGLE(STDEV(INDEX(Dati_grezzi!$A$2:$D$151,0,MATCH($B$3,Dati_grezzi!$A$1:$D$1,0))))</f>
        <v>2.1214086741556324</v>
      </c>
      <c r="I110" t="str">
        <f t="shared" si="7"/>
        <v>NO</v>
      </c>
    </row>
    <row r="111" spans="1:9" x14ac:dyDescent="0.25">
      <c r="A111">
        <f>INDEX(Dati_grezzi!$A$2:$D$151,107,MATCH($B$3,Dati_grezzi!$A$1:$D$1,0))</f>
        <v>4.9000000000000004</v>
      </c>
      <c r="G111" t="str">
        <f t="shared" si="6"/>
        <v>NO</v>
      </c>
      <c r="H111">
        <f>(A111-AVERAGE(INDEX(Dati_grezzi!$A$2:$D$151,0,MATCH($B$3,Dati_grezzi!$A$1:$D$1,0))))/_xlfn.SINGLE(STDEV(INDEX(Dati_grezzi!$A$2:$D$151,0,MATCH($B$3,Dati_grezzi!$A$1:$D$1,0))))</f>
        <v>-1.1392004834649812</v>
      </c>
      <c r="I111" t="str">
        <f t="shared" si="7"/>
        <v>NO</v>
      </c>
    </row>
    <row r="112" spans="1:9" x14ac:dyDescent="0.25">
      <c r="A112">
        <f>INDEX(Dati_grezzi!$A$2:$D$151,108,MATCH($B$3,Dati_grezzi!$A$1:$D$1,0))</f>
        <v>7.3</v>
      </c>
      <c r="G112" t="str">
        <f t="shared" si="6"/>
        <v>NO</v>
      </c>
      <c r="H112">
        <f>(A112-AVERAGE(INDEX(Dati_grezzi!$A$2:$D$151,0,MATCH($B$3,Dati_grezzi!$A$1:$D$1,0))))/_xlfn.SINGLE(STDEV(INDEX(Dati_grezzi!$A$2:$D$151,0,MATCH($B$3,Dati_grezzi!$A$1:$D$1,0))))</f>
        <v>1.759118767753342</v>
      </c>
      <c r="I112" t="str">
        <f t="shared" si="7"/>
        <v>NO</v>
      </c>
    </row>
    <row r="113" spans="1:9" x14ac:dyDescent="0.25">
      <c r="A113">
        <f>INDEX(Dati_grezzi!$A$2:$D$151,109,MATCH($B$3,Dati_grezzi!$A$1:$D$1,0))</f>
        <v>6.7</v>
      </c>
      <c r="G113" t="str">
        <f t="shared" si="6"/>
        <v>NO</v>
      </c>
      <c r="H113">
        <f>(A113-AVERAGE(INDEX(Dati_grezzi!$A$2:$D$151,0,MATCH($B$3,Dati_grezzi!$A$1:$D$1,0))))/_xlfn.SINGLE(STDEV(INDEX(Dati_grezzi!$A$2:$D$151,0,MATCH($B$3,Dati_grezzi!$A$1:$D$1,0))))</f>
        <v>1.0345389549487614</v>
      </c>
      <c r="I113" t="str">
        <f t="shared" si="7"/>
        <v>NO</v>
      </c>
    </row>
    <row r="114" spans="1:9" x14ac:dyDescent="0.25">
      <c r="A114">
        <f>INDEX(Dati_grezzi!$A$2:$D$151,110,MATCH($B$3,Dati_grezzi!$A$1:$D$1,0))</f>
        <v>7.2</v>
      </c>
      <c r="G114" t="str">
        <f t="shared" si="6"/>
        <v>NO</v>
      </c>
      <c r="H114">
        <f>(A114-AVERAGE(INDEX(Dati_grezzi!$A$2:$D$151,0,MATCH($B$3,Dati_grezzi!$A$1:$D$1,0))))/_xlfn.SINGLE(STDEV(INDEX(Dati_grezzi!$A$2:$D$151,0,MATCH($B$3,Dati_grezzi!$A$1:$D$1,0))))</f>
        <v>1.6383554656192456</v>
      </c>
      <c r="I114" t="str">
        <f t="shared" si="7"/>
        <v>NO</v>
      </c>
    </row>
    <row r="115" spans="1:9" x14ac:dyDescent="0.25">
      <c r="A115">
        <f>INDEX(Dati_grezzi!$A$2:$D$151,111,MATCH($B$3,Dati_grezzi!$A$1:$D$1,0))</f>
        <v>6.5</v>
      </c>
      <c r="G115" t="str">
        <f t="shared" si="6"/>
        <v>NO</v>
      </c>
      <c r="H115">
        <f>(A115-AVERAGE(INDEX(Dati_grezzi!$A$2:$D$151,0,MATCH($B$3,Dati_grezzi!$A$1:$D$1,0))))/_xlfn.SINGLE(STDEV(INDEX(Dati_grezzi!$A$2:$D$151,0,MATCH($B$3,Dati_grezzi!$A$1:$D$1,0))))</f>
        <v>0.79301235068056763</v>
      </c>
      <c r="I115" t="str">
        <f t="shared" si="7"/>
        <v>NO</v>
      </c>
    </row>
    <row r="116" spans="1:9" x14ac:dyDescent="0.25">
      <c r="A116">
        <f>INDEX(Dati_grezzi!$A$2:$D$151,112,MATCH($B$3,Dati_grezzi!$A$1:$D$1,0))</f>
        <v>6.4</v>
      </c>
      <c r="G116" t="str">
        <f t="shared" si="6"/>
        <v>NO</v>
      </c>
      <c r="H116">
        <f>(A116-AVERAGE(INDEX(Dati_grezzi!$A$2:$D$151,0,MATCH($B$3,Dati_grezzi!$A$1:$D$1,0))))/_xlfn.SINGLE(STDEV(INDEX(Dati_grezzi!$A$2:$D$151,0,MATCH($B$3,Dati_grezzi!$A$1:$D$1,0))))</f>
        <v>0.67224904854647116</v>
      </c>
      <c r="I116" t="str">
        <f t="shared" si="7"/>
        <v>NO</v>
      </c>
    </row>
    <row r="117" spans="1:9" x14ac:dyDescent="0.25">
      <c r="A117">
        <f>INDEX(Dati_grezzi!$A$2:$D$151,113,MATCH($B$3,Dati_grezzi!$A$1:$D$1,0))</f>
        <v>6.8</v>
      </c>
      <c r="G117" t="str">
        <f t="shared" si="6"/>
        <v>NO</v>
      </c>
      <c r="H117">
        <f>(A117-AVERAGE(INDEX(Dati_grezzi!$A$2:$D$151,0,MATCH($B$3,Dati_grezzi!$A$1:$D$1,0))))/_xlfn.SINGLE(STDEV(INDEX(Dati_grezzi!$A$2:$D$151,0,MATCH($B$3,Dati_grezzi!$A$1:$D$1,0))))</f>
        <v>1.1553022570828579</v>
      </c>
      <c r="I117" t="str">
        <f t="shared" si="7"/>
        <v>NO</v>
      </c>
    </row>
    <row r="118" spans="1:9" x14ac:dyDescent="0.25">
      <c r="A118">
        <f>INDEX(Dati_grezzi!$A$2:$D$151,114,MATCH($B$3,Dati_grezzi!$A$1:$D$1,0))</f>
        <v>5.7</v>
      </c>
      <c r="G118" t="str">
        <f t="shared" si="6"/>
        <v>NO</v>
      </c>
      <c r="H118">
        <f>(A118-AVERAGE(INDEX(Dati_grezzi!$A$2:$D$151,0,MATCH($B$3,Dati_grezzi!$A$1:$D$1,0))))/_xlfn.SINGLE(STDEV(INDEX(Dati_grezzi!$A$2:$D$151,0,MATCH($B$3,Dati_grezzi!$A$1:$D$1,0))))</f>
        <v>-0.17309406639220676</v>
      </c>
      <c r="I118" t="str">
        <f t="shared" si="7"/>
        <v>NO</v>
      </c>
    </row>
    <row r="119" spans="1:9" x14ac:dyDescent="0.25">
      <c r="A119">
        <f>INDEX(Dati_grezzi!$A$2:$D$151,115,MATCH($B$3,Dati_grezzi!$A$1:$D$1,0))</f>
        <v>5.8</v>
      </c>
      <c r="G119" t="str">
        <f t="shared" si="6"/>
        <v>NO</v>
      </c>
      <c r="H119">
        <f>(A119-AVERAGE(INDEX(Dati_grezzi!$A$2:$D$151,0,MATCH($B$3,Dati_grezzi!$A$1:$D$1,0))))/_xlfn.SINGLE(STDEV(INDEX(Dati_grezzi!$A$2:$D$151,0,MATCH($B$3,Dati_grezzi!$A$1:$D$1,0))))</f>
        <v>-5.2330764258110368E-2</v>
      </c>
      <c r="I119" t="str">
        <f t="shared" si="7"/>
        <v>NO</v>
      </c>
    </row>
    <row r="120" spans="1:9" x14ac:dyDescent="0.25">
      <c r="A120">
        <f>INDEX(Dati_grezzi!$A$2:$D$151,116,MATCH($B$3,Dati_grezzi!$A$1:$D$1,0))</f>
        <v>6.4</v>
      </c>
      <c r="G120" t="str">
        <f t="shared" si="6"/>
        <v>NO</v>
      </c>
      <c r="H120">
        <f>(A120-AVERAGE(INDEX(Dati_grezzi!$A$2:$D$151,0,MATCH($B$3,Dati_grezzi!$A$1:$D$1,0))))/_xlfn.SINGLE(STDEV(INDEX(Dati_grezzi!$A$2:$D$151,0,MATCH($B$3,Dati_grezzi!$A$1:$D$1,0))))</f>
        <v>0.67224904854647116</v>
      </c>
      <c r="I120" t="str">
        <f t="shared" si="7"/>
        <v>NO</v>
      </c>
    </row>
    <row r="121" spans="1:9" x14ac:dyDescent="0.25">
      <c r="A121">
        <f>INDEX(Dati_grezzi!$A$2:$D$151,117,MATCH($B$3,Dati_grezzi!$A$1:$D$1,0))</f>
        <v>6.5</v>
      </c>
      <c r="G121" t="str">
        <f t="shared" si="6"/>
        <v>NO</v>
      </c>
      <c r="H121">
        <f>(A121-AVERAGE(INDEX(Dati_grezzi!$A$2:$D$151,0,MATCH($B$3,Dati_grezzi!$A$1:$D$1,0))))/_xlfn.SINGLE(STDEV(INDEX(Dati_grezzi!$A$2:$D$151,0,MATCH($B$3,Dati_grezzi!$A$1:$D$1,0))))</f>
        <v>0.79301235068056763</v>
      </c>
      <c r="I121" t="str">
        <f t="shared" si="7"/>
        <v>NO</v>
      </c>
    </row>
    <row r="122" spans="1:9" x14ac:dyDescent="0.25">
      <c r="A122">
        <f>INDEX(Dati_grezzi!$A$2:$D$151,118,MATCH($B$3,Dati_grezzi!$A$1:$D$1,0))</f>
        <v>7.7</v>
      </c>
      <c r="G122" t="str">
        <f t="shared" si="6"/>
        <v>NO</v>
      </c>
      <c r="H122">
        <f>(A122-AVERAGE(INDEX(Dati_grezzi!$A$2:$D$151,0,MATCH($B$3,Dati_grezzi!$A$1:$D$1,0))))/_xlfn.SINGLE(STDEV(INDEX(Dati_grezzi!$A$2:$D$151,0,MATCH($B$3,Dati_grezzi!$A$1:$D$1,0))))</f>
        <v>2.2421719762897299</v>
      </c>
      <c r="I122" t="str">
        <f t="shared" si="7"/>
        <v>NO</v>
      </c>
    </row>
    <row r="123" spans="1:9" x14ac:dyDescent="0.25">
      <c r="A123">
        <f>INDEX(Dati_grezzi!$A$2:$D$151,119,MATCH($B$3,Dati_grezzi!$A$1:$D$1,0))</f>
        <v>7.7</v>
      </c>
      <c r="G123" t="str">
        <f t="shared" si="6"/>
        <v>NO</v>
      </c>
      <c r="H123">
        <f>(A123-AVERAGE(INDEX(Dati_grezzi!$A$2:$D$151,0,MATCH($B$3,Dati_grezzi!$A$1:$D$1,0))))/_xlfn.SINGLE(STDEV(INDEX(Dati_grezzi!$A$2:$D$151,0,MATCH($B$3,Dati_grezzi!$A$1:$D$1,0))))</f>
        <v>2.2421719762897299</v>
      </c>
      <c r="I123" t="str">
        <f t="shared" si="7"/>
        <v>NO</v>
      </c>
    </row>
    <row r="124" spans="1:9" x14ac:dyDescent="0.25">
      <c r="A124">
        <f>INDEX(Dati_grezzi!$A$2:$D$151,120,MATCH($B$3,Dati_grezzi!$A$1:$D$1,0))</f>
        <v>6</v>
      </c>
      <c r="G124" t="str">
        <f t="shared" si="6"/>
        <v>NO</v>
      </c>
      <c r="H124">
        <f>(A124-AVERAGE(INDEX(Dati_grezzi!$A$2:$D$151,0,MATCH($B$3,Dati_grezzi!$A$1:$D$1,0))))/_xlfn.SINGLE(STDEV(INDEX(Dati_grezzi!$A$2:$D$151,0,MATCH($B$3,Dati_grezzi!$A$1:$D$1,0))))</f>
        <v>0.18919584001008349</v>
      </c>
      <c r="I124" t="str">
        <f t="shared" si="7"/>
        <v>NO</v>
      </c>
    </row>
    <row r="125" spans="1:9" x14ac:dyDescent="0.25">
      <c r="A125">
        <f>INDEX(Dati_grezzi!$A$2:$D$151,121,MATCH($B$3,Dati_grezzi!$A$1:$D$1,0))</f>
        <v>6.9</v>
      </c>
      <c r="G125" t="str">
        <f t="shared" si="6"/>
        <v>NO</v>
      </c>
      <c r="H125">
        <f>(A125-AVERAGE(INDEX(Dati_grezzi!$A$2:$D$151,0,MATCH($B$3,Dati_grezzi!$A$1:$D$1,0))))/_xlfn.SINGLE(STDEV(INDEX(Dati_grezzi!$A$2:$D$151,0,MATCH($B$3,Dati_grezzi!$A$1:$D$1,0))))</f>
        <v>1.2760655592169552</v>
      </c>
      <c r="I125" t="str">
        <f t="shared" si="7"/>
        <v>NO</v>
      </c>
    </row>
    <row r="126" spans="1:9" x14ac:dyDescent="0.25">
      <c r="A126">
        <f>INDEX(Dati_grezzi!$A$2:$D$151,122,MATCH($B$3,Dati_grezzi!$A$1:$D$1,0))</f>
        <v>5.6</v>
      </c>
      <c r="G126" t="str">
        <f t="shared" si="6"/>
        <v>NO</v>
      </c>
      <c r="H126">
        <f>(A126-AVERAGE(INDEX(Dati_grezzi!$A$2:$D$151,0,MATCH($B$3,Dati_grezzi!$A$1:$D$1,0))))/_xlfn.SINGLE(STDEV(INDEX(Dati_grezzi!$A$2:$D$151,0,MATCH($B$3,Dati_grezzi!$A$1:$D$1,0))))</f>
        <v>-0.29385736852630423</v>
      </c>
      <c r="I126" t="str">
        <f t="shared" si="7"/>
        <v>NO</v>
      </c>
    </row>
    <row r="127" spans="1:9" x14ac:dyDescent="0.25">
      <c r="A127">
        <f>INDEX(Dati_grezzi!$A$2:$D$151,123,MATCH($B$3,Dati_grezzi!$A$1:$D$1,0))</f>
        <v>7.7</v>
      </c>
      <c r="G127" t="str">
        <f t="shared" si="6"/>
        <v>NO</v>
      </c>
      <c r="H127">
        <f>(A127-AVERAGE(INDEX(Dati_grezzi!$A$2:$D$151,0,MATCH($B$3,Dati_grezzi!$A$1:$D$1,0))))/_xlfn.SINGLE(STDEV(INDEX(Dati_grezzi!$A$2:$D$151,0,MATCH($B$3,Dati_grezzi!$A$1:$D$1,0))))</f>
        <v>2.2421719762897299</v>
      </c>
      <c r="I127" t="str">
        <f t="shared" si="7"/>
        <v>NO</v>
      </c>
    </row>
    <row r="128" spans="1:9" x14ac:dyDescent="0.25">
      <c r="A128">
        <f>INDEX(Dati_grezzi!$A$2:$D$151,124,MATCH($B$3,Dati_grezzi!$A$1:$D$1,0))</f>
        <v>6.3</v>
      </c>
      <c r="G128" t="str">
        <f t="shared" si="6"/>
        <v>NO</v>
      </c>
      <c r="H128">
        <f>(A128-AVERAGE(INDEX(Dati_grezzi!$A$2:$D$151,0,MATCH($B$3,Dati_grezzi!$A$1:$D$1,0))))/_xlfn.SINGLE(STDEV(INDEX(Dati_grezzi!$A$2:$D$151,0,MATCH($B$3,Dati_grezzi!$A$1:$D$1,0))))</f>
        <v>0.55148574641237369</v>
      </c>
      <c r="I128" t="str">
        <f t="shared" si="7"/>
        <v>NO</v>
      </c>
    </row>
    <row r="129" spans="1:9" x14ac:dyDescent="0.25">
      <c r="A129">
        <f>INDEX(Dati_grezzi!$A$2:$D$151,125,MATCH($B$3,Dati_grezzi!$A$1:$D$1,0))</f>
        <v>6.7</v>
      </c>
      <c r="G129" t="str">
        <f t="shared" si="6"/>
        <v>NO</v>
      </c>
      <c r="H129">
        <f>(A129-AVERAGE(INDEX(Dati_grezzi!$A$2:$D$151,0,MATCH($B$3,Dati_grezzi!$A$1:$D$1,0))))/_xlfn.SINGLE(STDEV(INDEX(Dati_grezzi!$A$2:$D$151,0,MATCH($B$3,Dati_grezzi!$A$1:$D$1,0))))</f>
        <v>1.0345389549487614</v>
      </c>
      <c r="I129" t="str">
        <f t="shared" si="7"/>
        <v>NO</v>
      </c>
    </row>
    <row r="130" spans="1:9" x14ac:dyDescent="0.25">
      <c r="A130">
        <f>INDEX(Dati_grezzi!$A$2:$D$151,126,MATCH($B$3,Dati_grezzi!$A$1:$D$1,0))</f>
        <v>7.2</v>
      </c>
      <c r="G130" t="str">
        <f t="shared" si="6"/>
        <v>NO</v>
      </c>
      <c r="H130">
        <f>(A130-AVERAGE(INDEX(Dati_grezzi!$A$2:$D$151,0,MATCH($B$3,Dati_grezzi!$A$1:$D$1,0))))/_xlfn.SINGLE(STDEV(INDEX(Dati_grezzi!$A$2:$D$151,0,MATCH($B$3,Dati_grezzi!$A$1:$D$1,0))))</f>
        <v>1.6383554656192456</v>
      </c>
      <c r="I130" t="str">
        <f t="shared" si="7"/>
        <v>NO</v>
      </c>
    </row>
    <row r="131" spans="1:9" x14ac:dyDescent="0.25">
      <c r="A131">
        <f>INDEX(Dati_grezzi!$A$2:$D$151,127,MATCH($B$3,Dati_grezzi!$A$1:$D$1,0))</f>
        <v>6.2</v>
      </c>
      <c r="G131" t="str">
        <f t="shared" si="6"/>
        <v>NO</v>
      </c>
      <c r="H131">
        <f>(A131-AVERAGE(INDEX(Dati_grezzi!$A$2:$D$151,0,MATCH($B$3,Dati_grezzi!$A$1:$D$1,0))))/_xlfn.SINGLE(STDEV(INDEX(Dati_grezzi!$A$2:$D$151,0,MATCH($B$3,Dati_grezzi!$A$1:$D$1,0))))</f>
        <v>0.43072244427827733</v>
      </c>
      <c r="I131" t="str">
        <f t="shared" si="7"/>
        <v>NO</v>
      </c>
    </row>
    <row r="132" spans="1:9" x14ac:dyDescent="0.25">
      <c r="A132">
        <f>INDEX(Dati_grezzi!$A$2:$D$151,128,MATCH($B$3,Dati_grezzi!$A$1:$D$1,0))</f>
        <v>6.1</v>
      </c>
      <c r="G132" t="str">
        <f t="shared" si="6"/>
        <v>NO</v>
      </c>
      <c r="H132">
        <f>(A132-AVERAGE(INDEX(Dati_grezzi!$A$2:$D$151,0,MATCH($B$3,Dati_grezzi!$A$1:$D$1,0))))/_xlfn.SINGLE(STDEV(INDEX(Dati_grezzi!$A$2:$D$151,0,MATCH($B$3,Dati_grezzi!$A$1:$D$1,0))))</f>
        <v>0.30995914214417986</v>
      </c>
      <c r="I132" t="str">
        <f t="shared" si="7"/>
        <v>NO</v>
      </c>
    </row>
    <row r="133" spans="1:9" x14ac:dyDescent="0.25">
      <c r="A133">
        <f>INDEX(Dati_grezzi!$A$2:$D$151,129,MATCH($B$3,Dati_grezzi!$A$1:$D$1,0))</f>
        <v>6.4</v>
      </c>
      <c r="G133" t="str">
        <f t="shared" ref="G133:G154" si="8">IF(OR(A133&lt;$E$5,A133&gt;$F$5),"YES","NO")</f>
        <v>NO</v>
      </c>
      <c r="H133">
        <f>(A133-AVERAGE(INDEX(Dati_grezzi!$A$2:$D$151,0,MATCH($B$3,Dati_grezzi!$A$1:$D$1,0))))/_xlfn.SINGLE(STDEV(INDEX(Dati_grezzi!$A$2:$D$151,0,MATCH($B$3,Dati_grezzi!$A$1:$D$1,0))))</f>
        <v>0.67224904854647116</v>
      </c>
      <c r="I133" t="str">
        <f t="shared" ref="I133:I154" si="9">IF(ABS(H133)&gt;3,"YES","NO")</f>
        <v>NO</v>
      </c>
    </row>
    <row r="134" spans="1:9" x14ac:dyDescent="0.25">
      <c r="A134">
        <f>INDEX(Dati_grezzi!$A$2:$D$151,130,MATCH($B$3,Dati_grezzi!$A$1:$D$1,0))</f>
        <v>7.2</v>
      </c>
      <c r="G134" t="str">
        <f t="shared" si="8"/>
        <v>NO</v>
      </c>
      <c r="H134">
        <f>(A134-AVERAGE(INDEX(Dati_grezzi!$A$2:$D$151,0,MATCH($B$3,Dati_grezzi!$A$1:$D$1,0))))/_xlfn.SINGLE(STDEV(INDEX(Dati_grezzi!$A$2:$D$151,0,MATCH($B$3,Dati_grezzi!$A$1:$D$1,0))))</f>
        <v>1.6383554656192456</v>
      </c>
      <c r="I134" t="str">
        <f t="shared" si="9"/>
        <v>NO</v>
      </c>
    </row>
    <row r="135" spans="1:9" x14ac:dyDescent="0.25">
      <c r="A135">
        <f>INDEX(Dati_grezzi!$A$2:$D$151,131,MATCH($B$3,Dati_grezzi!$A$1:$D$1,0))</f>
        <v>7.4</v>
      </c>
      <c r="G135" t="str">
        <f t="shared" si="8"/>
        <v>NO</v>
      </c>
      <c r="H135">
        <f>(A135-AVERAGE(INDEX(Dati_grezzi!$A$2:$D$151,0,MATCH($B$3,Dati_grezzi!$A$1:$D$1,0))))/_xlfn.SINGLE(STDEV(INDEX(Dati_grezzi!$A$2:$D$151,0,MATCH($B$3,Dati_grezzi!$A$1:$D$1,0))))</f>
        <v>1.8798820698874394</v>
      </c>
      <c r="I135" t="str">
        <f t="shared" si="9"/>
        <v>NO</v>
      </c>
    </row>
    <row r="136" spans="1:9" x14ac:dyDescent="0.25">
      <c r="A136">
        <f>INDEX(Dati_grezzi!$A$2:$D$151,132,MATCH($B$3,Dati_grezzi!$A$1:$D$1,0))</f>
        <v>7.9</v>
      </c>
      <c r="G136" t="str">
        <f t="shared" si="8"/>
        <v>NO</v>
      </c>
      <c r="H136">
        <f>(A136-AVERAGE(INDEX(Dati_grezzi!$A$2:$D$151,0,MATCH($B$3,Dati_grezzi!$A$1:$D$1,0))))/_xlfn.SINGLE(STDEV(INDEX(Dati_grezzi!$A$2:$D$151,0,MATCH($B$3,Dati_grezzi!$A$1:$D$1,0))))</f>
        <v>2.4836985805579235</v>
      </c>
      <c r="I136" t="str">
        <f t="shared" si="9"/>
        <v>NO</v>
      </c>
    </row>
    <row r="137" spans="1:9" x14ac:dyDescent="0.25">
      <c r="A137">
        <f>INDEX(Dati_grezzi!$A$2:$D$151,133,MATCH($B$3,Dati_grezzi!$A$1:$D$1,0))</f>
        <v>6.4</v>
      </c>
      <c r="G137" t="str">
        <f t="shared" si="8"/>
        <v>NO</v>
      </c>
      <c r="H137">
        <f>(A137-AVERAGE(INDEX(Dati_grezzi!$A$2:$D$151,0,MATCH($B$3,Dati_grezzi!$A$1:$D$1,0))))/_xlfn.SINGLE(STDEV(INDEX(Dati_grezzi!$A$2:$D$151,0,MATCH($B$3,Dati_grezzi!$A$1:$D$1,0))))</f>
        <v>0.67224904854647116</v>
      </c>
      <c r="I137" t="str">
        <f t="shared" si="9"/>
        <v>NO</v>
      </c>
    </row>
    <row r="138" spans="1:9" x14ac:dyDescent="0.25">
      <c r="A138">
        <f>INDEX(Dati_grezzi!$A$2:$D$151,134,MATCH($B$3,Dati_grezzi!$A$1:$D$1,0))</f>
        <v>6.3</v>
      </c>
      <c r="G138" t="str">
        <f t="shared" si="8"/>
        <v>NO</v>
      </c>
      <c r="H138">
        <f>(A138-AVERAGE(INDEX(Dati_grezzi!$A$2:$D$151,0,MATCH($B$3,Dati_grezzi!$A$1:$D$1,0))))/_xlfn.SINGLE(STDEV(INDEX(Dati_grezzi!$A$2:$D$151,0,MATCH($B$3,Dati_grezzi!$A$1:$D$1,0))))</f>
        <v>0.55148574641237369</v>
      </c>
      <c r="I138" t="str">
        <f t="shared" si="9"/>
        <v>NO</v>
      </c>
    </row>
    <row r="139" spans="1:9" x14ac:dyDescent="0.25">
      <c r="A139">
        <f>INDEX(Dati_grezzi!$A$2:$D$151,135,MATCH($B$3,Dati_grezzi!$A$1:$D$1,0))</f>
        <v>6.1</v>
      </c>
      <c r="G139" t="str">
        <f t="shared" si="8"/>
        <v>NO</v>
      </c>
      <c r="H139">
        <f>(A139-AVERAGE(INDEX(Dati_grezzi!$A$2:$D$151,0,MATCH($B$3,Dati_grezzi!$A$1:$D$1,0))))/_xlfn.SINGLE(STDEV(INDEX(Dati_grezzi!$A$2:$D$151,0,MATCH($B$3,Dati_grezzi!$A$1:$D$1,0))))</f>
        <v>0.30995914214417986</v>
      </c>
      <c r="I139" t="str">
        <f t="shared" si="9"/>
        <v>NO</v>
      </c>
    </row>
    <row r="140" spans="1:9" x14ac:dyDescent="0.25">
      <c r="A140">
        <f>INDEX(Dati_grezzi!$A$2:$D$151,136,MATCH($B$3,Dati_grezzi!$A$1:$D$1,0))</f>
        <v>7.7</v>
      </c>
      <c r="G140" t="str">
        <f t="shared" si="8"/>
        <v>NO</v>
      </c>
      <c r="H140">
        <f>(A140-AVERAGE(INDEX(Dati_grezzi!$A$2:$D$151,0,MATCH($B$3,Dati_grezzi!$A$1:$D$1,0))))/_xlfn.SINGLE(STDEV(INDEX(Dati_grezzi!$A$2:$D$151,0,MATCH($B$3,Dati_grezzi!$A$1:$D$1,0))))</f>
        <v>2.2421719762897299</v>
      </c>
      <c r="I140" t="str">
        <f t="shared" si="9"/>
        <v>NO</v>
      </c>
    </row>
    <row r="141" spans="1:9" x14ac:dyDescent="0.25">
      <c r="A141">
        <f>INDEX(Dati_grezzi!$A$2:$D$151,137,MATCH($B$3,Dati_grezzi!$A$1:$D$1,0))</f>
        <v>6.3</v>
      </c>
      <c r="G141" t="str">
        <f t="shared" si="8"/>
        <v>NO</v>
      </c>
      <c r="H141">
        <f>(A141-AVERAGE(INDEX(Dati_grezzi!$A$2:$D$151,0,MATCH($B$3,Dati_grezzi!$A$1:$D$1,0))))/_xlfn.SINGLE(STDEV(INDEX(Dati_grezzi!$A$2:$D$151,0,MATCH($B$3,Dati_grezzi!$A$1:$D$1,0))))</f>
        <v>0.55148574641237369</v>
      </c>
      <c r="I141" t="str">
        <f t="shared" si="9"/>
        <v>NO</v>
      </c>
    </row>
    <row r="142" spans="1:9" x14ac:dyDescent="0.25">
      <c r="A142">
        <f>INDEX(Dati_grezzi!$A$2:$D$151,138,MATCH($B$3,Dati_grezzi!$A$1:$D$1,0))</f>
        <v>6.4</v>
      </c>
      <c r="G142" t="str">
        <f t="shared" si="8"/>
        <v>NO</v>
      </c>
      <c r="H142">
        <f>(A142-AVERAGE(INDEX(Dati_grezzi!$A$2:$D$151,0,MATCH($B$3,Dati_grezzi!$A$1:$D$1,0))))/_xlfn.SINGLE(STDEV(INDEX(Dati_grezzi!$A$2:$D$151,0,MATCH($B$3,Dati_grezzi!$A$1:$D$1,0))))</f>
        <v>0.67224904854647116</v>
      </c>
      <c r="I142" t="str">
        <f t="shared" si="9"/>
        <v>NO</v>
      </c>
    </row>
    <row r="143" spans="1:9" x14ac:dyDescent="0.25">
      <c r="A143">
        <f>INDEX(Dati_grezzi!$A$2:$D$151,139,MATCH($B$3,Dati_grezzi!$A$1:$D$1,0))</f>
        <v>6</v>
      </c>
      <c r="G143" t="str">
        <f t="shared" si="8"/>
        <v>NO</v>
      </c>
      <c r="H143">
        <f>(A143-AVERAGE(INDEX(Dati_grezzi!$A$2:$D$151,0,MATCH($B$3,Dati_grezzi!$A$1:$D$1,0))))/_xlfn.SINGLE(STDEV(INDEX(Dati_grezzi!$A$2:$D$151,0,MATCH($B$3,Dati_grezzi!$A$1:$D$1,0))))</f>
        <v>0.18919584001008349</v>
      </c>
      <c r="I143" t="str">
        <f t="shared" si="9"/>
        <v>NO</v>
      </c>
    </row>
    <row r="144" spans="1:9" x14ac:dyDescent="0.25">
      <c r="A144">
        <f>INDEX(Dati_grezzi!$A$2:$D$151,140,MATCH($B$3,Dati_grezzi!$A$1:$D$1,0))</f>
        <v>6.9</v>
      </c>
      <c r="G144" t="str">
        <f t="shared" si="8"/>
        <v>NO</v>
      </c>
      <c r="H144">
        <f>(A144-AVERAGE(INDEX(Dati_grezzi!$A$2:$D$151,0,MATCH($B$3,Dati_grezzi!$A$1:$D$1,0))))/_xlfn.SINGLE(STDEV(INDEX(Dati_grezzi!$A$2:$D$151,0,MATCH($B$3,Dati_grezzi!$A$1:$D$1,0))))</f>
        <v>1.2760655592169552</v>
      </c>
      <c r="I144" t="str">
        <f t="shared" si="9"/>
        <v>NO</v>
      </c>
    </row>
    <row r="145" spans="1:9" x14ac:dyDescent="0.25">
      <c r="A145">
        <f>INDEX(Dati_grezzi!$A$2:$D$151,141,MATCH($B$3,Dati_grezzi!$A$1:$D$1,0))</f>
        <v>6.7</v>
      </c>
      <c r="G145" t="str">
        <f t="shared" si="8"/>
        <v>NO</v>
      </c>
      <c r="H145">
        <f>(A145-AVERAGE(INDEX(Dati_grezzi!$A$2:$D$151,0,MATCH($B$3,Dati_grezzi!$A$1:$D$1,0))))/_xlfn.SINGLE(STDEV(INDEX(Dati_grezzi!$A$2:$D$151,0,MATCH($B$3,Dati_grezzi!$A$1:$D$1,0))))</f>
        <v>1.0345389549487614</v>
      </c>
      <c r="I145" t="str">
        <f t="shared" si="9"/>
        <v>NO</v>
      </c>
    </row>
    <row r="146" spans="1:9" x14ac:dyDescent="0.25">
      <c r="A146">
        <f>INDEX(Dati_grezzi!$A$2:$D$151,142,MATCH($B$3,Dati_grezzi!$A$1:$D$1,0))</f>
        <v>6.9</v>
      </c>
      <c r="G146" t="str">
        <f t="shared" si="8"/>
        <v>NO</v>
      </c>
      <c r="H146">
        <f>(A146-AVERAGE(INDEX(Dati_grezzi!$A$2:$D$151,0,MATCH($B$3,Dati_grezzi!$A$1:$D$1,0))))/_xlfn.SINGLE(STDEV(INDEX(Dati_grezzi!$A$2:$D$151,0,MATCH($B$3,Dati_grezzi!$A$1:$D$1,0))))</f>
        <v>1.2760655592169552</v>
      </c>
      <c r="I146" t="str">
        <f t="shared" si="9"/>
        <v>NO</v>
      </c>
    </row>
    <row r="147" spans="1:9" x14ac:dyDescent="0.25">
      <c r="A147">
        <f>INDEX(Dati_grezzi!$A$2:$D$151,143,MATCH($B$3,Dati_grezzi!$A$1:$D$1,0))</f>
        <v>5.8</v>
      </c>
      <c r="G147" t="str">
        <f t="shared" si="8"/>
        <v>NO</v>
      </c>
      <c r="H147">
        <f>(A147-AVERAGE(INDEX(Dati_grezzi!$A$2:$D$151,0,MATCH($B$3,Dati_grezzi!$A$1:$D$1,0))))/_xlfn.SINGLE(STDEV(INDEX(Dati_grezzi!$A$2:$D$151,0,MATCH($B$3,Dati_grezzi!$A$1:$D$1,0))))</f>
        <v>-5.2330764258110368E-2</v>
      </c>
      <c r="I147" t="str">
        <f t="shared" si="9"/>
        <v>NO</v>
      </c>
    </row>
    <row r="148" spans="1:9" x14ac:dyDescent="0.25">
      <c r="A148">
        <f>INDEX(Dati_grezzi!$A$2:$D$151,144,MATCH($B$3,Dati_grezzi!$A$1:$D$1,0))</f>
        <v>6.8</v>
      </c>
      <c r="G148" t="str">
        <f t="shared" si="8"/>
        <v>NO</v>
      </c>
      <c r="H148">
        <f>(A148-AVERAGE(INDEX(Dati_grezzi!$A$2:$D$151,0,MATCH($B$3,Dati_grezzi!$A$1:$D$1,0))))/_xlfn.SINGLE(STDEV(INDEX(Dati_grezzi!$A$2:$D$151,0,MATCH($B$3,Dati_grezzi!$A$1:$D$1,0))))</f>
        <v>1.1553022570828579</v>
      </c>
      <c r="I148" t="str">
        <f t="shared" si="9"/>
        <v>NO</v>
      </c>
    </row>
    <row r="149" spans="1:9" x14ac:dyDescent="0.25">
      <c r="A149">
        <f>INDEX(Dati_grezzi!$A$2:$D$151,145,MATCH($B$3,Dati_grezzi!$A$1:$D$1,0))</f>
        <v>6.7</v>
      </c>
      <c r="G149" t="str">
        <f t="shared" si="8"/>
        <v>NO</v>
      </c>
      <c r="H149">
        <f>(A149-AVERAGE(INDEX(Dati_grezzi!$A$2:$D$151,0,MATCH($B$3,Dati_grezzi!$A$1:$D$1,0))))/_xlfn.SINGLE(STDEV(INDEX(Dati_grezzi!$A$2:$D$151,0,MATCH($B$3,Dati_grezzi!$A$1:$D$1,0))))</f>
        <v>1.0345389549487614</v>
      </c>
      <c r="I149" t="str">
        <f t="shared" si="9"/>
        <v>NO</v>
      </c>
    </row>
    <row r="150" spans="1:9" x14ac:dyDescent="0.25">
      <c r="A150">
        <f>INDEX(Dati_grezzi!$A$2:$D$151,146,MATCH($B$3,Dati_grezzi!$A$1:$D$1,0))</f>
        <v>6.7</v>
      </c>
      <c r="G150" t="str">
        <f t="shared" si="8"/>
        <v>NO</v>
      </c>
      <c r="H150">
        <f>(A150-AVERAGE(INDEX(Dati_grezzi!$A$2:$D$151,0,MATCH($B$3,Dati_grezzi!$A$1:$D$1,0))))/_xlfn.SINGLE(STDEV(INDEX(Dati_grezzi!$A$2:$D$151,0,MATCH($B$3,Dati_grezzi!$A$1:$D$1,0))))</f>
        <v>1.0345389549487614</v>
      </c>
      <c r="I150" t="str">
        <f t="shared" si="9"/>
        <v>NO</v>
      </c>
    </row>
    <row r="151" spans="1:9" x14ac:dyDescent="0.25">
      <c r="A151">
        <f>INDEX(Dati_grezzi!$A$2:$D$151,147,MATCH($B$3,Dati_grezzi!$A$1:$D$1,0))</f>
        <v>6.3</v>
      </c>
      <c r="G151" t="str">
        <f t="shared" si="8"/>
        <v>NO</v>
      </c>
      <c r="H151">
        <f>(A151-AVERAGE(INDEX(Dati_grezzi!$A$2:$D$151,0,MATCH($B$3,Dati_grezzi!$A$1:$D$1,0))))/_xlfn.SINGLE(STDEV(INDEX(Dati_grezzi!$A$2:$D$151,0,MATCH($B$3,Dati_grezzi!$A$1:$D$1,0))))</f>
        <v>0.55148574641237369</v>
      </c>
      <c r="I151" t="str">
        <f t="shared" si="9"/>
        <v>NO</v>
      </c>
    </row>
    <row r="152" spans="1:9" x14ac:dyDescent="0.25">
      <c r="A152">
        <f>INDEX(Dati_grezzi!$A$2:$D$151,148,MATCH($B$3,Dati_grezzi!$A$1:$D$1,0))</f>
        <v>6.5</v>
      </c>
      <c r="G152" t="str">
        <f t="shared" si="8"/>
        <v>NO</v>
      </c>
      <c r="H152">
        <f>(A152-AVERAGE(INDEX(Dati_grezzi!$A$2:$D$151,0,MATCH($B$3,Dati_grezzi!$A$1:$D$1,0))))/_xlfn.SINGLE(STDEV(INDEX(Dati_grezzi!$A$2:$D$151,0,MATCH($B$3,Dati_grezzi!$A$1:$D$1,0))))</f>
        <v>0.79301235068056763</v>
      </c>
      <c r="I152" t="str">
        <f t="shared" si="9"/>
        <v>NO</v>
      </c>
    </row>
    <row r="153" spans="1:9" x14ac:dyDescent="0.25">
      <c r="A153">
        <f>INDEX(Dati_grezzi!$A$2:$D$151,149,MATCH($B$3,Dati_grezzi!$A$1:$D$1,0))</f>
        <v>6.2</v>
      </c>
      <c r="G153" t="str">
        <f t="shared" si="8"/>
        <v>NO</v>
      </c>
      <c r="H153">
        <f>(A153-AVERAGE(INDEX(Dati_grezzi!$A$2:$D$151,0,MATCH($B$3,Dati_grezzi!$A$1:$D$1,0))))/_xlfn.SINGLE(STDEV(INDEX(Dati_grezzi!$A$2:$D$151,0,MATCH($B$3,Dati_grezzi!$A$1:$D$1,0))))</f>
        <v>0.43072244427827733</v>
      </c>
      <c r="I153" t="str">
        <f t="shared" si="9"/>
        <v>NO</v>
      </c>
    </row>
    <row r="154" spans="1:9" x14ac:dyDescent="0.25">
      <c r="A154">
        <f>INDEX(Dati_grezzi!$A$2:$D$151,150,MATCH($B$3,Dati_grezzi!$A$1:$D$1,0))</f>
        <v>5.9</v>
      </c>
      <c r="G154" t="str">
        <f t="shared" si="8"/>
        <v>NO</v>
      </c>
      <c r="H154">
        <f>(A154-AVERAGE(INDEX(Dati_grezzi!$A$2:$D$151,0,MATCH($B$3,Dati_grezzi!$A$1:$D$1,0))))/_xlfn.SINGLE(STDEV(INDEX(Dati_grezzi!$A$2:$D$151,0,MATCH($B$3,Dati_grezzi!$A$1:$D$1,0))))</f>
        <v>6.843253787598709E-2</v>
      </c>
      <c r="I154" t="str">
        <f t="shared" si="9"/>
        <v>NO</v>
      </c>
    </row>
  </sheetData>
  <autoFilter ref="A4:I4" xr:uid="{00000000-0001-0000-0400-000000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28C41-8E02-447C-B88F-59C6DBB20D94}">
  <dimension ref="A2:E22"/>
  <sheetViews>
    <sheetView workbookViewId="0">
      <selection activeCell="A22" sqref="A22"/>
    </sheetView>
  </sheetViews>
  <sheetFormatPr defaultRowHeight="15" x14ac:dyDescent="0.25"/>
  <cols>
    <col min="1" max="1" width="19.28515625" bestFit="1" customWidth="1"/>
    <col min="2" max="2" width="21.140625" bestFit="1" customWidth="1"/>
    <col min="3" max="3" width="6" bestFit="1" customWidth="1"/>
    <col min="4" max="4" width="6.85546875" bestFit="1" customWidth="1"/>
    <col min="5" max="5" width="18.28515625" bestFit="1" customWidth="1"/>
  </cols>
  <sheetData>
    <row r="2" spans="1:5" x14ac:dyDescent="0.25">
      <c r="A2" s="9" t="s">
        <v>70</v>
      </c>
    </row>
    <row r="3" spans="1:5" x14ac:dyDescent="0.25">
      <c r="A3" s="7" t="s">
        <v>53</v>
      </c>
      <c r="B3" s="7" t="s">
        <v>54</v>
      </c>
    </row>
    <row r="4" spans="1:5" x14ac:dyDescent="0.25">
      <c r="A4" s="7" t="s">
        <v>55</v>
      </c>
      <c r="B4" t="s">
        <v>56</v>
      </c>
      <c r="C4" t="s">
        <v>57</v>
      </c>
      <c r="D4" t="s">
        <v>58</v>
      </c>
      <c r="E4" t="s">
        <v>59</v>
      </c>
    </row>
    <row r="5" spans="1:5" x14ac:dyDescent="0.25">
      <c r="A5" s="8" t="s">
        <v>17</v>
      </c>
      <c r="C5">
        <v>50</v>
      </c>
      <c r="E5">
        <v>50</v>
      </c>
    </row>
    <row r="6" spans="1:5" x14ac:dyDescent="0.25">
      <c r="A6" s="8" t="s">
        <v>18</v>
      </c>
      <c r="B6">
        <v>2</v>
      </c>
      <c r="D6">
        <v>48</v>
      </c>
      <c r="E6">
        <v>50</v>
      </c>
    </row>
    <row r="7" spans="1:5" x14ac:dyDescent="0.25">
      <c r="A7" s="8" t="s">
        <v>19</v>
      </c>
      <c r="B7">
        <v>44</v>
      </c>
      <c r="D7">
        <v>6</v>
      </c>
      <c r="E7">
        <v>50</v>
      </c>
    </row>
    <row r="8" spans="1:5" x14ac:dyDescent="0.25">
      <c r="A8" s="8" t="s">
        <v>59</v>
      </c>
      <c r="B8">
        <v>46</v>
      </c>
      <c r="C8">
        <v>50</v>
      </c>
      <c r="D8">
        <v>54</v>
      </c>
      <c r="E8">
        <v>150</v>
      </c>
    </row>
    <row r="10" spans="1:5" x14ac:dyDescent="0.25">
      <c r="A10" s="8" t="s">
        <v>60</v>
      </c>
    </row>
    <row r="11" spans="1:5" x14ac:dyDescent="0.25">
      <c r="A11" s="8" t="s">
        <v>71</v>
      </c>
      <c r="B11" t="s">
        <v>72</v>
      </c>
      <c r="C11" t="s">
        <v>73</v>
      </c>
    </row>
    <row r="12" spans="1:5" x14ac:dyDescent="0.25">
      <c r="A12">
        <f>$E5*B$8/$E$8</f>
        <v>15.333333333333334</v>
      </c>
      <c r="B12">
        <f>$E5*C$8/$E$8</f>
        <v>16.666666666666668</v>
      </c>
      <c r="C12">
        <f>$E5*D$8/$E$8</f>
        <v>18</v>
      </c>
    </row>
    <row r="13" spans="1:5" x14ac:dyDescent="0.25">
      <c r="A13">
        <f>$E6*B$8/$E$8</f>
        <v>15.333333333333334</v>
      </c>
      <c r="B13">
        <f t="shared" ref="B13:C13" si="0">$E6*C$8/$E$8</f>
        <v>16.666666666666668</v>
      </c>
      <c r="C13">
        <f t="shared" si="0"/>
        <v>18</v>
      </c>
    </row>
    <row r="14" spans="1:5" x14ac:dyDescent="0.25">
      <c r="A14">
        <f t="shared" ref="A14:C14" si="1">$E7*B$8/$E$8</f>
        <v>15.333333333333334</v>
      </c>
      <c r="B14">
        <f t="shared" si="1"/>
        <v>16.666666666666668</v>
      </c>
      <c r="C14">
        <f t="shared" si="1"/>
        <v>18</v>
      </c>
    </row>
    <row r="17" spans="1:1" x14ac:dyDescent="0.25">
      <c r="A17" t="s">
        <v>61</v>
      </c>
    </row>
    <row r="19" spans="1:1" x14ac:dyDescent="0.25">
      <c r="A19" t="s">
        <v>74</v>
      </c>
    </row>
    <row r="21" spans="1:1" x14ac:dyDescent="0.25">
      <c r="A21">
        <f>_xlfn.CHISQ.TEST(B5:D7,A12:C14)</f>
        <v>5.6942708958950342E-40</v>
      </c>
    </row>
    <row r="22" spans="1:1" x14ac:dyDescent="0.25">
      <c r="A22" t="s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9"/>
  <sheetViews>
    <sheetView workbookViewId="0">
      <selection activeCell="A9" sqref="A9"/>
    </sheetView>
  </sheetViews>
  <sheetFormatPr defaultRowHeight="15" x14ac:dyDescent="0.25"/>
  <cols>
    <col min="1" max="1" width="120" customWidth="1"/>
  </cols>
  <sheetData>
    <row r="1" spans="1:1" ht="18.75" x14ac:dyDescent="0.3">
      <c r="A1" s="1" t="s">
        <v>63</v>
      </c>
    </row>
    <row r="3" spans="1:1" x14ac:dyDescent="0.25">
      <c r="A3" s="5" t="s">
        <v>64</v>
      </c>
    </row>
    <row r="5" spans="1:1" x14ac:dyDescent="0.25">
      <c r="A5" s="3" t="s">
        <v>65</v>
      </c>
    </row>
    <row r="6" spans="1:1" x14ac:dyDescent="0.25">
      <c r="A6" s="3" t="s">
        <v>66</v>
      </c>
    </row>
    <row r="7" spans="1:1" x14ac:dyDescent="0.25">
      <c r="A7" s="3" t="s">
        <v>67</v>
      </c>
    </row>
    <row r="8" spans="1:1" x14ac:dyDescent="0.25">
      <c r="A8" s="3" t="s">
        <v>68</v>
      </c>
    </row>
    <row r="9" spans="1:1" x14ac:dyDescent="0.25">
      <c r="A9" s="3" t="s">
        <v>69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5D4BF43CB49E94486AE0BDB12F2F219" ma:contentTypeVersion="10" ma:contentTypeDescription="Creare un nuovo documento." ma:contentTypeScope="" ma:versionID="24552c6a2e8d14f430877fa013599989">
  <xsd:schema xmlns:xsd="http://www.w3.org/2001/XMLSchema" xmlns:xs="http://www.w3.org/2001/XMLSchema" xmlns:p="http://schemas.microsoft.com/office/2006/metadata/properties" xmlns:ns2="674b27b8-e1cd-4723-9694-0b904cc35f92" targetNamespace="http://schemas.microsoft.com/office/2006/metadata/properties" ma:root="true" ma:fieldsID="3f6b84a6e24a18f569593973411257d8" ns2:_="">
    <xsd:import namespace="674b27b8-e1cd-4723-9694-0b904cc35f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4b27b8-e1cd-4723-9694-0b904cc35f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31024acf-1a8f-4fa5-a57e-aeaa6e47b8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74b27b8-e1cd-4723-9694-0b904cc35f9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AACB6A-3780-4878-A77A-6EE417743D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ACF5F39-A1FC-4396-8534-8482C88191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4b27b8-e1cd-4723-9694-0b904cc35f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9910A44-9D4B-4AE0-8F32-468CD0F680ED}">
  <ds:schemaRefs>
    <ds:schemaRef ds:uri="http://schemas.microsoft.com/office/2006/metadata/properties"/>
    <ds:schemaRef ds:uri="http://schemas.microsoft.com/office/infopath/2007/PartnerControls"/>
    <ds:schemaRef ds:uri="674b27b8-e1cd-4723-9694-0b904cc35f9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Istruzioni</vt:lpstr>
      <vt:lpstr>Dati_grezzi</vt:lpstr>
      <vt:lpstr>Statistiche_guidate</vt:lpstr>
      <vt:lpstr>Distribuzioni</vt:lpstr>
      <vt:lpstr>Scatter</vt:lpstr>
      <vt:lpstr>Preprocessing</vt:lpstr>
      <vt:lpstr>Outlier_IQR</vt:lpstr>
      <vt:lpstr>Chi Quadro</vt:lpstr>
      <vt:lpstr>Consegna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Giorgia Morelli</cp:lastModifiedBy>
  <cp:revision/>
  <dcterms:created xsi:type="dcterms:W3CDTF">2026-02-17T15:21:31Z</dcterms:created>
  <dcterms:modified xsi:type="dcterms:W3CDTF">2026-02-27T17:26:45Z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0x01010065D4BF43CB49E94486AE0BDB12F2F219</vt:lpwstr>
  </property>
  <property fmtid="{D5CDD505-2E9C-101B-9397-08002B2CF9AE}" pid="3" name="MediaServiceImageTags">
    <vt:lpwstr/>
  </property>
</Properties>
</file>